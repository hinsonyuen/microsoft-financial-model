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3811af330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245a4824c224cec"/>
    <x:sheet xmlns:r="http://schemas.openxmlformats.org/officeDocument/2006/relationships" name="Assumptions" sheetId="2" r:id="R33fb5172d4b04fcd"/>
    <x:sheet xmlns:r="http://schemas.openxmlformats.org/officeDocument/2006/relationships" name="Statements" sheetId="3" r:id="R042c4642f72e426a"/>
    <x:sheet xmlns:r="http://schemas.openxmlformats.org/officeDocument/2006/relationships" name="Revenue" sheetId="4" r:id="R9638d534aa6c4145"/>
    <x:sheet xmlns:r="http://schemas.openxmlformats.org/officeDocument/2006/relationships" name="Capital" sheetId="5" r:id="R05a2eacf352c4ef8"/>
    <x:sheet xmlns:r="http://schemas.openxmlformats.org/officeDocument/2006/relationships" name="Funding" sheetId="6" r:id="R5f5cb53bd75e42ab"/>
    <x:sheet xmlns:r="http://schemas.openxmlformats.org/officeDocument/2006/relationships" name="DCF" sheetId="7" r:id="Rc2f84d3d9ce84d11"/>
    <x:sheet xmlns:r="http://schemas.openxmlformats.org/officeDocument/2006/relationships" name="Actuals" sheetId="8" r:id="R2b2bd31623654d29"/>
    <x:sheet xmlns:r="http://schemas.openxmlformats.org/officeDocument/2006/relationships" name="Checks" sheetId="9" r:id="Rb945192885044cce"/>
    <x:sheet xmlns:r="http://schemas.openxmlformats.org/officeDocument/2006/relationships" name="Guide" sheetId="10" r:id="R199265857b2e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(#,##0);&quot;-&quot;"/>
    <x:numFmt numFmtId="201" formatCode="0.0%;(0.0%);&quot;-&quot;"/>
    <x:numFmt numFmtId="202" formatCode="$0.00;($0.00);&quot;-&quot;"/>
    <x:numFmt numFmtId="203" formatCode="mm/dd/yy"/>
    <x:numFmt numFmtId="204" formatCode="0.00"/>
    <x:numFmt numFmtId="205" formatCode=";;;"/>
    <x:numFmt numFmtId="206" formatCode="0.00;(0.00);0.00"/>
    <x:numFmt numFmtId="207" formatCode="0.0"/>
    <x:numFmt numFmtId="208" formatCode="0.00%"/>
    <x:numFmt numFmtId="209" formatCode="$#,##0;($#,##0);&quot;-&quot;"/>
  </x:numFmts>
  <x:fonts count="15">
    <x:font>
      <x:sz val="11"/>
      <x:name val="Carlito"/>
    </x:font>
    <x:font>
      <x:sz val="10"/>
      <x:color rgb="FF182735"/>
      <x:name val="Arial"/>
    </x:font>
    <x:font>
      <x:b/>
      <x:sz val="15"/>
      <x:color rgb="FF193B5A"/>
      <x:name val="Arial"/>
    </x:font>
    <x:font>
      <x:i/>
      <x:sz val="10"/>
      <x:color rgb="FF5C6874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10"/>
      <x:color rgb="FF182735"/>
      <x:name val="Arial"/>
    </x:font>
    <x:font>
      <x:b/>
      <x:sz val="10"/>
      <x:color rgb="FF008000"/>
      <x:name val="Arial"/>
    </x:font>
    <x:font>
      <x:i/>
      <x:sz val="10"/>
      <x:color rgb="FF182735"/>
      <x:name val="Arial"/>
    </x:font>
    <x:font>
      <x:i/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0000FF"/>
      <x:name val="Arial"/>
    </x:font>
    <x:font>
      <x:i/>
      <x:sz val="10"/>
      <x:color rgb="FF0000FF"/>
      <x:name val="Arial"/>
    </x:font>
    <x:font>
      <x:sz val="10"/>
      <x:color rgb="FF5C6874"/>
      <x:name val="Arial"/>
    </x:font>
    <x:font>
      <x:b/>
      <x:sz val="10"/>
      <x:color rgb="FF193B5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93B5A"/>
      </x:patternFill>
    </x:fill>
    <x:fill>
      <x:patternFill patternType="solid">
        <x:fgColor rgb="FFF3F0E9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6EEF5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93B5A"/>
      </x:bottom>
      <x:diagonal/>
    </x:border>
    <x:border>
      <x:left/>
      <x:right/>
      <x:top style="thin">
        <x:color rgb="FFA9B6C2"/>
      </x:top>
      <x:bottom/>
      <x:diagonal/>
    </x:border>
  </x:borders>
  <x:cellStyleXfs count="1">
    <x:xf numFmtId="0" fontId="0" fillId="0" borderId="0"/>
  </x:cellStyleXfs>
  <x:cellXfs count="10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200" fontId="1" fillId="3" borderId="0" xfId="0" applyNumberFormat="1" applyFont="1" applyFill="1" applyBorder="1" applyAlignment="1">
      <x:alignment horizontal="right" vertical="center" wrapText="0"/>
    </x:xf>
    <x:xf numFmtId="200" fontId="5" fillId="0" borderId="0" xfId="0" applyNumberFormat="1" applyFont="1" applyFill="1" applyBorder="1" applyAlignment="1">
      <x:alignment horizontal="right" vertical="center" wrapText="0"/>
    </x:xf>
    <x:xf numFmtId="200" fontId="1" fillId="2" borderId="0" xfId="0" applyNumberFormat="1" applyFont="1" applyFill="1" applyBorder="1" applyAlignment="1">
      <x:alignment horizontal="right" vertical="center" wrapText="0"/>
    </x:xf>
    <x:xf numFmtId="200" fontId="5" fillId="2" borderId="0" xfId="0" applyNumberFormat="1" applyFont="1" applyFill="1" applyBorder="1" applyAlignment="1">
      <x:alignment horizontal="right" vertical="center" wrapText="0"/>
    </x:xf>
    <x:xf numFmtId="200" fontId="4" fillId="2" borderId="0" xfId="0" applyNumberFormat="1" applyFont="1" applyFill="1" applyBorder="1" applyAlignment="1">
      <x:alignment horizontal="right"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200" fontId="6" fillId="3" borderId="0" xfId="0" applyNumberFormat="1" applyFont="1" applyFill="1" applyBorder="1" applyAlignment="1">
      <x:alignment horizontal="right" vertical="center" wrapText="0"/>
    </x:xf>
    <x:xf numFmtId="200" fontId="7" fillId="0" borderId="0" xfId="0" applyNumberFormat="1" applyFont="1" applyFill="1" applyBorder="1" applyAlignment="1">
      <x:alignment horizontal="right" vertical="center" wrapText="0"/>
    </x:xf>
    <x:xf numFmtId="0" fontId="6" fillId="0" borderId="2" xfId="0" applyNumberFormat="1" applyFont="1" applyFill="1" applyBorder="1" applyAlignment="1">
      <x:alignment vertical="center" wrapText="0"/>
    </x:xf>
    <x:xf numFmtId="200" fontId="6" fillId="3" borderId="2" xfId="0" applyNumberFormat="1" applyFont="1" applyFill="1" applyBorder="1" applyAlignment="1">
      <x:alignment horizontal="right" vertical="center" wrapText="0"/>
    </x:xf>
    <x:xf numFmtId="200" fontId="7" fillId="0" borderId="2" xfId="0" applyNumberFormat="1" applyFont="1" applyFill="1" applyBorder="1" applyAlignment="1">
      <x:alignment horizontal="right" vertical="center" wrapText="0"/>
    </x:xf>
    <x:xf numFmtId="201" fontId="1" fillId="3" borderId="0" xfId="0" applyNumberFormat="1" applyFont="1" applyFill="1" applyBorder="1" applyAlignment="1">
      <x:alignment horizontal="right" vertical="center" wrapText="0"/>
    </x:xf>
    <x:xf numFmtId="201" fontId="5" fillId="0" borderId="0" xfId="0" applyNumberFormat="1" applyFont="1" applyFill="1" applyBorder="1" applyAlignment="1">
      <x:alignment horizontal="right" vertical="center" wrapText="0"/>
    </x:xf>
    <x:xf numFmtId="0" fontId="8" fillId="0" borderId="0" xfId="0" applyNumberFormat="1" applyFont="1" applyFill="1" applyBorder="1" applyAlignment="1">
      <x:alignment vertical="center" wrapText="0"/>
    </x:xf>
    <x:xf numFmtId="201" fontId="8" fillId="3" borderId="0" xfId="0" applyNumberFormat="1" applyFont="1" applyFill="1" applyBorder="1" applyAlignment="1">
      <x:alignment horizontal="right" vertical="center" wrapText="0"/>
    </x:xf>
    <x:xf numFmtId="201" fontId="9" fillId="0" borderId="0" xfId="0" applyNumberFormat="1" applyFont="1" applyFill="1" applyBorder="1" applyAlignment="1">
      <x:alignment horizontal="right" vertical="center" wrapText="0"/>
    </x:xf>
    <x:xf numFmtId="202" fontId="1" fillId="3" borderId="0" xfId="0" applyNumberFormat="1" applyFont="1" applyFill="1" applyBorder="1" applyAlignment="1">
      <x:alignment horizontal="right" vertical="center" wrapText="0"/>
    </x:xf>
    <x:xf numFmtId="202" fontId="5" fillId="0" borderId="0" xfId="0" applyNumberFormat="1" applyFont="1" applyFill="1" applyBorder="1" applyAlignment="1">
      <x:alignment horizontal="right" vertical="center" wrapText="0"/>
    </x:xf>
    <x:xf numFmtId="200" fontId="10" fillId="3" borderId="0" xfId="0" applyNumberFormat="1" applyFont="1" applyFill="1" applyBorder="1" applyAlignment="1">
      <x:alignment horizontal="right" vertical="center" wrapText="0"/>
    </x:xf>
    <x:xf numFmtId="200" fontId="11" fillId="2" borderId="0" xfId="0" applyNumberFormat="1" applyFont="1" applyFill="1" applyBorder="1" applyAlignment="1">
      <x:alignment horizontal="right" vertical="center" wrapText="0"/>
    </x:xf>
    <x:xf numFmtId="200" fontId="11" fillId="3" borderId="2" xfId="0" applyNumberFormat="1" applyFont="1" applyFill="1" applyBorder="1" applyAlignment="1">
      <x:alignment horizontal="right" vertical="center" wrapText="0"/>
    </x:xf>
    <x:xf numFmtId="201" fontId="12" fillId="3" borderId="0" xfId="0" applyNumberFormat="1" applyFont="1" applyFill="1" applyBorder="1" applyAlignment="1">
      <x:alignment horizontal="right" vertical="center" wrapText="0"/>
    </x:xf>
    <x:xf numFmtId="202" fontId="10" fillId="3" borderId="0" xfId="0" applyNumberFormat="1" applyFont="1" applyFill="1" applyBorder="1" applyAlignment="1">
      <x:alignment horizontal="right" vertical="center" wrapText="0"/>
    </x:xf>
    <x:xf numFmtId="201" fontId="10" fillId="3" borderId="0" xfId="0" applyNumberFormat="1" applyFont="1" applyFill="1" applyBorder="1" applyAlignment="1">
      <x:alignment horizontal="right" vertical="center" wrapText="0"/>
    </x:xf>
    <x:xf numFmtId="0" fontId="13" fillId="0" borderId="0" xfId="0" applyNumberFormat="1" applyFont="1" applyFill="1" applyBorder="1" applyAlignment="1">
      <x:alignment vertical="center" wrapText="0"/>
    </x:xf>
    <x:xf numFmtId="200" fontId="5" fillId="4" borderId="0" xfId="0" applyNumberFormat="1" applyFont="1" applyFill="1" applyBorder="1" applyAlignment="1">
      <x:alignment horizontal="right" vertical="center" wrapText="0"/>
    </x:xf>
    <x:xf numFmtId="200" fontId="10" fillId="4" borderId="0" xfId="0" applyNumberFormat="1" applyFont="1" applyFill="1" applyBorder="1" applyAlignment="1">
      <x:alignment horizontal="right" vertical="center" wrapText="0"/>
    </x:xf>
    <x:xf numFmtId="201" fontId="10" fillId="4" borderId="0" xfId="0" applyNumberFormat="1" applyFont="1" applyFill="1" applyBorder="1" applyAlignment="1">
      <x:alignment horizontal="right" vertical="center" wrapText="0"/>
    </x:xf>
    <x:xf numFmtId="201" fontId="12" fillId="4" borderId="0" xfId="0" applyNumberFormat="1" applyFont="1" applyFill="1" applyBorder="1" applyAlignment="1">
      <x:alignment horizontal="right" vertical="center" wrapText="0"/>
    </x:xf>
    <x:xf numFmtId="200" fontId="11" fillId="3" borderId="0" xfId="0" applyNumberFormat="1" applyFont="1" applyFill="1" applyBorder="1" applyAlignment="1">
      <x:alignment horizontal="right" vertical="center" wrapText="0"/>
    </x:xf>
    <x:xf numFmtId="200" fontId="1" fillId="5" borderId="0" xfId="0" applyNumberFormat="1" applyFont="1" applyFill="1" applyBorder="1" applyAlignment="1">
      <x:alignment horizontal="right" vertical="center" wrapText="0"/>
    </x:xf>
    <x:xf numFmtId="200" fontId="1" fillId="4" borderId="0" xfId="0" applyNumberFormat="1" applyFont="1" applyFill="1" applyBorder="1" applyAlignment="1">
      <x:alignment horizontal="right" vertical="center" wrapText="0"/>
    </x:xf>
    <x:xf numFmtId="203" fontId="1" fillId="5" borderId="0" xfId="0" applyNumberFormat="1" applyFont="1" applyFill="1" applyBorder="1" applyAlignment="1">
      <x:alignment horizontal="right" vertical="center" wrapText="0"/>
    </x:xf>
    <x:xf numFmtId="201" fontId="1" fillId="5" borderId="0" xfId="0" applyNumberFormat="1" applyFont="1" applyFill="1" applyBorder="1" applyAlignment="1">
      <x:alignment horizontal="right" vertical="center" wrapText="0"/>
    </x:xf>
    <x:xf numFmtId="202" fontId="1" fillId="5" borderId="0" xfId="0" applyNumberFormat="1" applyFont="1" applyFill="1" applyBorder="1" applyAlignment="1">
      <x:alignment horizontal="right" vertical="center" wrapText="0"/>
    </x:xf>
    <x:xf numFmtId="201" fontId="6" fillId="5" borderId="0" xfId="0" applyNumberFormat="1" applyFont="1" applyFill="1" applyBorder="1" applyAlignment="1">
      <x:alignment horizontal="right" vertical="center" wrapText="0"/>
    </x:xf>
    <x:xf numFmtId="201" fontId="6" fillId="5" borderId="2" xfId="0" applyNumberFormat="1" applyFont="1" applyFill="1" applyBorder="1" applyAlignment="1">
      <x:alignment horizontal="right" vertical="center" wrapText="0"/>
    </x:xf>
    <x:xf numFmtId="200" fontId="6" fillId="5" borderId="0" xfId="0" applyNumberFormat="1" applyFont="1" applyFill="1" applyBorder="1" applyAlignment="1">
      <x:alignment horizontal="right" vertical="center" wrapText="0"/>
    </x:xf>
    <x:xf numFmtId="200" fontId="6" fillId="5" borderId="2" xfId="0" applyNumberFormat="1" applyFont="1" applyFill="1" applyBorder="1" applyAlignment="1">
      <x:alignment horizontal="right" vertical="center" wrapText="0"/>
    </x:xf>
    <x:xf numFmtId="202" fontId="6" fillId="5" borderId="0" xfId="0" applyNumberFormat="1" applyFont="1" applyFill="1" applyBorder="1" applyAlignment="1">
      <x:alignment horizontal="right" vertical="center" wrapText="0"/>
    </x:xf>
    <x:xf numFmtId="202" fontId="6" fillId="5" borderId="2" xfId="0" applyNumberFormat="1" applyFont="1" applyFill="1" applyBorder="1" applyAlignment="1">
      <x:alignment horizontal="right" vertical="center" wrapText="0"/>
    </x:xf>
    <x:xf numFmtId="204" fontId="5" fillId="0" borderId="0" xfId="0" applyNumberFormat="1" applyFont="1" applyFill="1" applyBorder="1" applyAlignment="1">
      <x:alignment horizontal="right" vertical="center" wrapText="0"/>
    </x:xf>
    <x:xf numFmtId="205" fontId="1" fillId="5" borderId="0" xfId="0" applyNumberFormat="1" applyFont="1" applyFill="1" applyBorder="1" applyAlignment="1">
      <x:alignment horizontal="right" vertical="center" wrapText="0"/>
    </x:xf>
    <x:xf numFmtId="205" fontId="1" fillId="2" borderId="0" xfId="0" applyNumberFormat="1" applyFont="1" applyFill="1" applyBorder="1" applyAlignment="1">
      <x:alignment horizontal="right" vertical="center" wrapText="0"/>
    </x:xf>
    <x:xf numFmtId="201" fontId="1" fillId="2" borderId="0" xfId="0" applyNumberFormat="1" applyFont="1" applyFill="1" applyBorder="1" applyAlignment="1">
      <x:alignment horizontal="right" vertical="center" wrapText="0"/>
    </x:xf>
    <x:xf numFmtId="201" fontId="5" fillId="2" borderId="0" xfId="0" applyNumberFormat="1" applyFont="1" applyFill="1" applyBorder="1" applyAlignment="1">
      <x:alignment horizontal="right" vertical="center" wrapText="0"/>
    </x:xf>
    <x:xf numFmtId="205" fontId="4" fillId="2" borderId="0" xfId="0" applyNumberFormat="1" applyFont="1" applyFill="1" applyBorder="1" applyAlignment="1">
      <x:alignment horizontal="right" vertical="center" wrapText="0"/>
    </x:xf>
    <x:xf numFmtId="201" fontId="4" fillId="2" borderId="0" xfId="0" applyNumberFormat="1" applyFont="1" applyFill="1" applyBorder="1" applyAlignment="1">
      <x:alignment horizontal="right" vertical="center" wrapText="0"/>
    </x:xf>
    <x:xf numFmtId="202" fontId="5" fillId="4" borderId="0" xfId="0" applyNumberFormat="1" applyFont="1" applyFill="1" applyBorder="1" applyAlignment="1">
      <x:alignment horizontal="right" vertical="center" wrapText="0"/>
    </x:xf>
    <x:xf numFmtId="201" fontId="8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0" fontId="1" fillId="6" borderId="0" xfId="0" applyNumberFormat="1" applyFont="1" applyFill="1" applyBorder="1" applyAlignment="1">
      <x:alignment vertical="center" wrapText="0"/>
    </x:xf>
    <x:xf numFmtId="202" fontId="1" fillId="6" borderId="0" xfId="0" applyNumberFormat="1" applyFont="1" applyFill="1" applyBorder="1" applyAlignment="1">
      <x:alignment horizontal="right" vertical="center" wrapText="0"/>
    </x:xf>
    <x:xf numFmtId="201" fontId="1" fillId="6" borderId="0" xfId="0" applyNumberFormat="1" applyFont="1" applyFill="1" applyBorder="1" applyAlignment="1">
      <x:alignment horizontal="right" vertical="center" wrapText="0"/>
    </x:xf>
    <x:xf numFmtId="0" fontId="14" fillId="6" borderId="0" xfId="0" applyNumberFormat="1" applyFont="1" applyFill="1" applyBorder="1" applyAlignment="1">
      <x:alignment vertical="center" wrapText="0"/>
    </x:xf>
    <x:xf numFmtId="202" fontId="14" fillId="6" borderId="0" xfId="0" applyNumberFormat="1" applyFont="1" applyFill="1" applyBorder="1" applyAlignment="1">
      <x:alignment horizontal="right" vertical="center" wrapText="0"/>
    </x:xf>
    <x:xf numFmtId="201" fontId="14" fillId="6" borderId="0" xfId="0" applyNumberFormat="1" applyFont="1" applyFill="1" applyBorder="1" applyAlignment="1">
      <x:alignment horizontal="right" vertical="center" wrapText="0"/>
    </x:xf>
    <x:xf numFmtId="200" fontId="6" fillId="0" borderId="0" xfId="0" applyNumberFormat="1" applyFont="1" applyFill="1" applyBorder="1" applyAlignment="1">
      <x:alignment horizontal="right" vertical="center" wrapText="0"/>
    </x:xf>
    <x:xf numFmtId="200" fontId="6" fillId="0" borderId="2" xfId="0" applyNumberFormat="1" applyFont="1" applyFill="1" applyBorder="1" applyAlignment="1">
      <x:alignment horizontal="right" vertical="center" wrapText="0"/>
    </x:xf>
    <x:xf numFmtId="206" fontId="1" fillId="3" borderId="0" xfId="0" applyNumberFormat="1" applyFont="1" applyFill="1" applyBorder="1" applyAlignment="1">
      <x:alignment horizontal="right" vertical="center" wrapText="0"/>
    </x:xf>
    <x:xf numFmtId="206" fontId="5" fillId="0" borderId="0" xfId="0" applyNumberFormat="1" applyFont="1" applyFill="1" applyBorder="1" applyAlignment="1">
      <x:alignment horizontal="right" vertical="center" wrapText="0"/>
    </x:xf>
    <x:xf numFmtId="206" fontId="1" fillId="0" borderId="0" xfId="0" applyNumberFormat="1" applyFont="1" applyFill="1" applyBorder="1" applyAlignment="1">
      <x:alignment horizontal="right" vertical="center" wrapText="0"/>
    </x:xf>
    <x:xf numFmtId="200" fontId="5" fillId="5" borderId="0" xfId="0" applyNumberFormat="1" applyFont="1" applyFill="1" applyBorder="1" applyAlignment="1">
      <x:alignment horizontal="right" vertical="center" wrapText="0"/>
    </x:xf>
    <x:xf numFmtId="201" fontId="9" fillId="3" borderId="0" xfId="0" applyNumberFormat="1" applyFont="1" applyFill="1" applyBorder="1" applyAlignment="1">
      <x:alignment horizontal="right" vertical="center" wrapText="0"/>
    </x:xf>
    <x:xf numFmtId="200" fontId="5" fillId="3" borderId="0" xfId="0" applyNumberFormat="1" applyFont="1" applyFill="1" applyBorder="1" applyAlignment="1">
      <x:alignment horizontal="right" vertical="center" wrapText="0"/>
    </x:xf>
    <x:xf numFmtId="200" fontId="7" fillId="3" borderId="2" xfId="0" applyNumberFormat="1" applyFont="1" applyFill="1" applyBorder="1" applyAlignment="1">
      <x:alignment horizontal="right" vertical="center" wrapText="0"/>
    </x:xf>
    <x:xf numFmtId="202" fontId="5" fillId="3" borderId="0" xfId="0" applyNumberFormat="1" applyFont="1" applyFill="1" applyBorder="1" applyAlignment="1">
      <x:alignment horizontal="right" vertical="center" wrapText="0"/>
    </x:xf>
    <x:xf numFmtId="206" fontId="5" fillId="3" borderId="0" xfId="0" applyNumberFormat="1" applyFont="1" applyFill="1" applyBorder="1" applyAlignment="1">
      <x:alignment horizontal="right" vertical="center" wrapText="0"/>
    </x:xf>
    <x:xf numFmtId="202" fontId="14" fillId="5" borderId="0" xfId="0" applyNumberFormat="1" applyFont="1" applyFill="1" applyBorder="1" applyAlignment="1">
      <x:alignment horizontal="right" vertical="center" wrapText="0"/>
    </x:xf>
    <x:xf numFmtId="201" fontId="14" fillId="5" borderId="0" xfId="0" applyNumberFormat="1" applyFont="1" applyFill="1" applyBorder="1" applyAlignment="1">
      <x:alignment horizontal="right" vertical="center" wrapText="0"/>
    </x:xf>
    <x:xf numFmtId="201" fontId="8" fillId="5" borderId="0" xfId="0" applyNumberFormat="1" applyFont="1" applyFill="1" applyBorder="1" applyAlignment="1">
      <x:alignment horizontal="right" vertical="center" wrapText="0"/>
    </x:xf>
    <x:xf numFmtId="0" fontId="0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right" vertical="center" wrapText="0"/>
    </x:xf>
    <x:xf numFmtId="200" fontId="11" fillId="5" borderId="2" xfId="0" applyNumberFormat="1" applyFont="1" applyFill="1" applyBorder="1" applyAlignment="1">
      <x:alignment horizontal="right" vertical="center" wrapText="0"/>
    </x:xf>
    <x:xf numFmtId="200" fontId="10" fillId="5" borderId="0" xfId="0" applyNumberFormat="1" applyFont="1" applyFill="1" applyBorder="1" applyAlignment="1">
      <x:alignment horizontal="right" vertical="center" wrapText="0"/>
    </x:xf>
    <x:xf numFmtId="200" fontId="4" fillId="3" borderId="0" xfId="0" applyNumberFormat="1" applyFont="1" applyFill="1" applyBorder="1" applyAlignment="1">
      <x:alignment horizontal="right" vertical="center" wrapText="0"/>
    </x:xf>
    <x:xf numFmtId="201" fontId="5" fillId="5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  <x:xf numFmtId="202" fontId="5" fillId="5" borderId="0" xfId="0" applyNumberFormat="1" applyFont="1" applyFill="1" applyBorder="1" applyAlignment="1">
      <x:alignment horizontal="right" vertical="center" wrapText="0"/>
    </x:xf>
    <x:xf numFmtId="205" fontId="6" fillId="2" borderId="0" xfId="0" applyNumberFormat="1" applyFont="1" applyFill="1" applyBorder="1" applyAlignment="1">
      <x:alignment horizontal="right" vertical="center" wrapText="0"/>
    </x:xf>
    <x:xf numFmtId="201" fontId="6" fillId="2" borderId="0" xfId="0" applyNumberFormat="1" applyFont="1" applyFill="1" applyBorder="1" applyAlignment="1">
      <x:alignment horizontal="right" vertical="center" wrapText="0"/>
    </x:xf>
    <x:xf numFmtId="202" fontId="1" fillId="4" borderId="0" xfId="0" applyNumberFormat="1" applyFont="1" applyFill="1" applyBorder="1" applyAlignment="1">
      <x:alignment horizontal="right" vertical="center" wrapText="0"/>
    </x:xf>
    <x:xf numFmtId="207" fontId="1" fillId="5" borderId="0" xfId="0" applyNumberFormat="1" applyFont="1" applyFill="1" applyBorder="1" applyAlignment="1">
      <x:alignment horizontal="right" vertical="center" wrapText="0"/>
    </x:xf>
    <x:xf numFmtId="207" fontId="5" fillId="3" borderId="0" xfId="0" applyNumberFormat="1" applyFont="1" applyFill="1" applyBorder="1" applyAlignment="1">
      <x:alignment horizontal="right" vertical="center" wrapText="0"/>
    </x:xf>
    <x:xf numFmtId="207" fontId="10" fillId="4" borderId="0" xfId="0" applyNumberFormat="1" applyFont="1" applyFill="1" applyBorder="1" applyAlignment="1">
      <x:alignment horizontal="right" vertical="center" wrapText="0"/>
    </x:xf>
    <x:xf numFmtId="207" fontId="1" fillId="3" borderId="0" xfId="0" applyNumberFormat="1" applyFont="1" applyFill="1" applyBorder="1" applyAlignment="1">
      <x:alignment horizontal="right" vertical="center" wrapText="0"/>
    </x:xf>
    <x:xf numFmtId="208" fontId="6" fillId="5" borderId="2" xfId="0" applyNumberFormat="1" applyFont="1" applyFill="1" applyBorder="1" applyAlignment="1">
      <x:alignment horizontal="right" vertical="center" wrapText="0"/>
    </x:xf>
    <x:xf numFmtId="208" fontId="1" fillId="5" borderId="0" xfId="0" applyNumberFormat="1" applyFont="1" applyFill="1" applyBorder="1" applyAlignment="1">
      <x:alignment horizontal="right" vertical="center" wrapText="0"/>
    </x:xf>
    <x:xf numFmtId="208" fontId="6" fillId="5" borderId="0" xfId="0" applyNumberFormat="1" applyFont="1" applyFill="1" applyBorder="1" applyAlignment="1">
      <x:alignment horizontal="right" vertical="center" wrapText="0"/>
    </x:xf>
    <x:xf numFmtId="0" fontId="4" fillId="5" borderId="0" xfId="0" applyNumberFormat="1" applyFont="1" applyFill="1" applyBorder="1" applyAlignment="1">
      <x:alignment horizontal="center" vertical="center" wrapText="0"/>
    </x:xf>
    <x:xf numFmtId="209" fontId="7" fillId="3" borderId="2" xfId="0" applyNumberFormat="1" applyFont="1" applyFill="1" applyBorder="1" applyAlignment="1">
      <x:alignment horizontal="right" vertical="center" wrapText="0"/>
    </x:xf>
    <x:xf numFmtId="209" fontId="7" fillId="0" borderId="2" xfId="0" applyNumberFormat="1" applyFont="1" applyFill="1" applyBorder="1" applyAlignment="1">
      <x:alignment horizontal="right" vertical="center" wrapText="0"/>
    </x:xf>
    <x:xf numFmtId="209" fontId="6" fillId="0" borderId="2" xfId="0" applyNumberFormat="1" applyFont="1" applyFill="1" applyBorder="1" applyAlignment="1">
      <x:alignment horizontal="right" vertical="center" wrapText="0"/>
    </x:xf>
    <x:xf numFmtId="209" fontId="5" fillId="3" borderId="0" xfId="0" applyNumberFormat="1" applyFont="1" applyFill="1" applyBorder="1" applyAlignment="1">
      <x:alignment horizontal="right" vertical="center" wrapText="0"/>
    </x:xf>
    <x:xf numFmtId="209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100c4e5c5a454e" /><Relationship Type="http://schemas.openxmlformats.org/officeDocument/2006/relationships/theme" Target="/xl/theme/theme1.xml" Id="R503207c147bb4370" /><Relationship Type="http://schemas.openxmlformats.org/officeDocument/2006/relationships/sharedStrings" Target="/xl/sharedStrings.xml" Id="Rfa37f73defbb431c" /><Relationship Type="http://schemas.openxmlformats.org/officeDocument/2006/relationships/worksheet" Target="/xl/worksheets/sheet1.xml" Id="R9245a4824c224cec" /><Relationship Type="http://schemas.openxmlformats.org/officeDocument/2006/relationships/worksheet" Target="/xl/worksheets/sheet2.xml" Id="R33fb5172d4b04fcd" /><Relationship Type="http://schemas.openxmlformats.org/officeDocument/2006/relationships/worksheet" Target="/xl/worksheets/sheet3.xml" Id="R042c4642f72e426a" /><Relationship Type="http://schemas.openxmlformats.org/officeDocument/2006/relationships/worksheet" Target="/xl/worksheets/sheet4.xml" Id="R9638d534aa6c4145" /><Relationship Type="http://schemas.openxmlformats.org/officeDocument/2006/relationships/worksheet" Target="/xl/worksheets/sheet5.xml" Id="R05a2eacf352c4ef8" /><Relationship Type="http://schemas.openxmlformats.org/officeDocument/2006/relationships/worksheet" Target="/xl/worksheets/sheet6.xml" Id="R5f5cb53bd75e42ab" /><Relationship Type="http://schemas.openxmlformats.org/officeDocument/2006/relationships/worksheet" Target="/xl/worksheets/sheet7.xml" Id="Rc2f84d3d9ce84d11" /><Relationship Type="http://schemas.openxmlformats.org/officeDocument/2006/relationships/worksheet" Target="/xl/worksheets/sheet8.xml" Id="R2b2bd31623654d29" /><Relationship Type="http://schemas.openxmlformats.org/officeDocument/2006/relationships/worksheet" Target="/xl/worksheets/sheet9.xml" Id="Rb945192885044cce" /><Relationship Type="http://schemas.openxmlformats.org/officeDocument/2006/relationships/worksheet" Target="/xl/worksheets/sheet10.xml" Id="R199265857b2e4d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5fdc695a6242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unlevered cash flow (USD billions)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193B5A"/>
              </a:solidFill>
              <a:prstDash val="solid"/>
            </a:ln>
          </c:spPr>
          <c:marker>
            <c:symbol val="none"/>
          </c:marker>
          <c:cat>
            <c:strRef>
              <c:f>'Overview'!$I$55:$I$59</c:f>
              <c:strCache>
                <c:ptCount val="0"/>
              </c:strCache>
            </c:strRef>
          </c:cat>
          <c:val>
            <c:numRef>
              <c:f>'Overview'!$J$55:$J$59</c:f>
              <c:numCache>
                <c:formatCode>#,##0;(#,##0);"-"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Unlevered FCF</c:v>
          </c:tx>
          <c:spPr>
            <a:ln xmlns:a="http://schemas.openxmlformats.org/drawingml/2006/main" w="19050">
              <a:solidFill>
                <a:srgbClr val="D48326"/>
              </a:solidFill>
              <a:prstDash val="solid"/>
            </a:ln>
          </c:spPr>
          <c:marker>
            <c:symbol val="none"/>
          </c:marker>
          <c:cat>
            <c:strRef>
              <c:f>'Overview'!$I$55:$I$59</c:f>
              <c:strCache>
                <c:ptCount val="0"/>
              </c:strCache>
            </c:strRef>
          </c:cat>
          <c:val>
            <c:numRef>
              <c:f>'Overview'!$K$55:$K$59</c:f>
              <c:numCache>
                <c:formatCode>#,##0;(#,##0);"-"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&quot;bn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17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5fdc695a62423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188586247c490a" /></Relationships>
</file>

<file path=xl/worksheets/sheet1.xml><?xml version="1.0" encoding="utf-8"?>
<x:worksheet xmlns:x="http://schemas.openxmlformats.org/spreadsheetml/2006/main">
  <x:sheetPr>
    <x:tabColor rgb="FF193B5A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0" hidden="0" customWidth="1"/>
    <x:col min="16" max="16" width="16" hidden="0" customWidth="1"/>
    <x:col min="17" max="17" width="16" hidden="0" customWidth="1"/>
  </x:cols>
  <x:sheetData>
    <x:row r="1" ht="20" customHeight="1"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C2" s="7" t="str">
        <x:v>Microsoft forecast and valuation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3"/>
      <x:c r="O2" s="3"/>
      <x:c r="P2" s="3"/>
      <x:c r="Q2" s="3"/>
    </x:row>
    <x:row r="3" ht="20" customHeight="1">
      <x:c r="C3" s="8" t="str">
        <x:v>USD millions except shares (millions), per-share values and rates</x:v>
      </x:c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3"/>
      <x:c r="O3" s="3"/>
      <x:c r="P3" s="3"/>
      <x:c r="Q3" s="3"/>
    </x:row>
    <x:row r="4" ht="24" customHeight="1">
      <x:c r="C4" s="11"/>
      <x:c r="D4" s="11" t="str">
        <x:v>FY:22 A</x:v>
      </x:c>
      <x:c r="E4" s="11" t="str">
        <x:v>FY:23 A</x:v>
      </x:c>
      <x:c r="F4" s="11" t="str">
        <x:v>FY:24 A</x:v>
      </x:c>
      <x:c r="G4" s="11" t="str">
        <x:v>FY:25 A</x:v>
      </x:c>
      <x:c r="H4" s="11" t="str">
        <x:v>FY:26 A</x:v>
      </x:c>
      <x:c r="I4" s="11" t="str">
        <x:v>FY:27 F</x:v>
      </x:c>
      <x:c r="J4" s="11" t="str">
        <x:v>FY:28 F</x:v>
      </x:c>
      <x:c r="K4" s="11" t="str">
        <x:v>FY:29 F</x:v>
      </x:c>
      <x:c r="L4" s="11" t="str">
        <x:v>FY:30 F</x:v>
      </x:c>
      <x:c r="M4" s="11" t="str">
        <x:v>FY:31 F</x:v>
      </x:c>
      <x:c r="N4" s="3"/>
      <x:c r="O4" s="3"/>
      <x:c r="P4" s="3"/>
      <x:c r="Q4" s="3"/>
    </x:row>
    <x:row r="5" ht="20" customHeight="1">
      <x:c r="C5" s="3"/>
      <x:c r="D5" s="12"/>
      <x:c r="E5" s="12"/>
      <x:c r="F5" s="12"/>
      <x:c r="G5" s="12"/>
      <x:c r="H5" s="12"/>
      <x:c r="I5" s="5"/>
      <x:c r="J5" s="5"/>
      <x:c r="K5" s="5"/>
      <x:c r="L5" s="5"/>
      <x:c r="M5" s="5"/>
      <x:c r="N5" s="3"/>
      <x:c r="O5" s="3"/>
      <x:c r="P5" s="3"/>
      <x:c r="Q5" s="3"/>
    </x:row>
    <x:row r="6" ht="20" customHeight="1">
      <x:c r="C6" s="20" t="str">
        <x:v>Revenue</x:v>
      </x:c>
      <x:c r="D6" s="21" t="n">
        <x:f>'Statements'!D7</x:f>
        <x:v>198270</x:v>
      </x:c>
      <x:c r="E6" s="21" t="n">
        <x:f>'Statements'!E7</x:f>
        <x:v>211915</x:v>
      </x:c>
      <x:c r="F6" s="21" t="n">
        <x:f>'Statements'!F7</x:f>
        <x:v>245122</x:v>
      </x:c>
      <x:c r="G6" s="21" t="n">
        <x:f>'Statements'!G7</x:f>
        <x:v>281724</x:v>
      </x:c>
      <x:c r="H6" s="21" t="n">
        <x:f>'Statements'!H7</x:f>
        <x:v>331839</x:v>
      </x:c>
      <x:c r="I6" s="70" t="n">
        <x:f>'Statements'!I7</x:f>
        <x:v>399507.87</x:v>
      </x:c>
      <x:c r="J6" s="70" t="n">
        <x:f>'Statements'!J7</x:f>
        <x:v>475173.2686</x:v>
      </x:c>
      <x:c r="K6" s="70" t="n">
        <x:f>'Statements'!K7</x:f>
        <x:v>555514.250594</x:v>
      </x:c>
      <x:c r="L6" s="70" t="n">
        <x:f>'Statements'!L7</x:f>
        <x:v>636124.83740776</x:v>
      </x:c>
      <x:c r="M6" s="70" t="n">
        <x:f>'Statements'!M7</x:f>
        <x:v>711652.2654269927</x:v>
      </x:c>
      <x:c r="N6" s="3"/>
      <x:c r="O6" s="3"/>
      <x:c r="P6" s="3"/>
      <x:c r="Q6" s="3"/>
    </x:row>
    <x:row r="7" ht="20" customHeight="1">
      <x:c r="C7" s="25" t="str">
        <x:v>Revenue growth</x:v>
      </x:c>
      <x:c r="D7" s="26"/>
      <x:c r="E7" s="26" t="n">
        <x:f>E6/D6-1</x:f>
        <x:v>0.06882029555656421</x:v>
      </x:c>
      <x:c r="F7" s="26" t="n">
        <x:f>F6/E6-1</x:f>
        <x:v>0.1566996201307127</x:v>
      </x:c>
      <x:c r="G7" s="26" t="n">
        <x:f>G6/F6-1</x:f>
        <x:v>0.14932156232406713</x:v>
      </x:c>
      <x:c r="H7" s="26" t="n">
        <x:f>H6/G6-1</x:f>
        <x:v>0.17788686799846665</x:v>
      </x:c>
      <x:c r="I7" s="61" t="n">
        <x:f>I6/H6-1</x:f>
        <x:v>0.20392078688761717</x:v>
      </x:c>
      <x:c r="J7" s="61" t="n">
        <x:f>J6/I6-1</x:f>
        <x:v>0.18939651576826266</x:v>
      </x:c>
      <x:c r="K7" s="61" t="n">
        <x:f>K6/J6-1</x:f>
        <x:v>0.16907723414389042</x:v>
      </x:c>
      <x:c r="L7" s="61" t="n">
        <x:f>L6/K6-1</x:f>
        <x:v>0.1451098450265942</x:v>
      </x:c>
      <x:c r="M7" s="61" t="n">
        <x:f>M6/L6-1</x:f>
        <x:v>0.1187305125940541</x:v>
      </x:c>
      <x:c r="N7" s="3"/>
      <x:c r="O7" s="3"/>
      <x:c r="P7" s="3"/>
      <x:c r="Q7" s="3"/>
    </x:row>
    <x:row r="8" ht="20" customHeight="1">
      <x:c r="C8" s="20" t="str">
        <x:v>Operating income</x:v>
      </x:c>
      <x:c r="D8" s="21" t="n">
        <x:f>'Statements'!D13</x:f>
        <x:v>83383</x:v>
      </x:c>
      <x:c r="E8" s="21" t="n">
        <x:f>'Statements'!E13</x:f>
        <x:v>88523</x:v>
      </x:c>
      <x:c r="F8" s="21" t="n">
        <x:f>'Statements'!F13</x:f>
        <x:v>109433</x:v>
      </x:c>
      <x:c r="G8" s="21" t="n">
        <x:f>'Statements'!G13</x:f>
        <x:v>128528</x:v>
      </x:c>
      <x:c r="H8" s="21" t="n">
        <x:f>'Statements'!H13</x:f>
        <x:v>155237</x:v>
      </x:c>
      <x:c r="I8" s="70" t="n">
        <x:f>'Statements'!I13</x:f>
        <x:v>184113.3085886167</x:v>
      </x:c>
      <x:c r="J8" s="70" t="n">
        <x:f>'Statements'!J13</x:f>
        <x:v>215512.47952187026</x:v>
      </x:c>
      <x:c r="K8" s="70" t="n">
        <x:f>'Statements'!K13</x:f>
        <x:v>251175.7729869972</x:v>
      </x:c>
      <x:c r="L8" s="70" t="n">
        <x:f>'Statements'!L13</x:f>
        <x:v>289710.1087721545</x:v>
      </x:c>
      <x:c r="M8" s="70" t="n">
        <x:f>'Statements'!M13</x:f>
        <x:v>323280.85647072986</x:v>
      </x:c>
      <x:c r="N8" s="3"/>
      <x:c r="O8" s="3"/>
      <x:c r="P8" s="3"/>
      <x:c r="Q8" s="3"/>
    </x:row>
    <x:row r="9" ht="20" customHeight="1">
      <x:c r="C9" s="25" t="str">
        <x:v>Operating margin</x:v>
      </x:c>
      <x:c r="D9" s="26" t="n">
        <x:f>'Statements'!D14</x:f>
        <x:v>0.4205527815604983</x:v>
      </x:c>
      <x:c r="E9" s="26" t="n">
        <x:f>'Statements'!E14</x:f>
        <x:v>0.417728806361041</x:v>
      </x:c>
      <x:c r="F9" s="26" t="n">
        <x:f>'Statements'!F14</x:f>
        <x:v>0.44644299573273716</x:v>
      </x:c>
      <x:c r="G9" s="26" t="n">
        <x:f>'Statements'!G14</x:f>
        <x:v>0.4562195624085985</x:v>
      </x:c>
      <x:c r="H9" s="26" t="n">
        <x:f>'Statements'!H14</x:f>
        <x:v>0.4678081840892722</x:v>
      </x:c>
      <x:c r="I9" s="61" t="n">
        <x:f>'Statements'!I14</x:f>
        <x:v>0.4608502670763825</x:v>
      </x:c>
      <x:c r="J9" s="61" t="n">
        <x:f>'Statements'!J14</x:f>
        <x:v>0.4535450408581133</x:v>
      </x:c>
      <x:c r="K9" s="61" t="n">
        <x:f>'Statements'!K14</x:f>
        <x:v>0.45215000824626933</x:v>
      </x:c>
      <x:c r="L9" s="61" t="n">
        <x:f>'Statements'!L14</x:f>
        <x:v>0.4554296448362832</x:v>
      </x:c>
      <x:c r="M9" s="61" t="n">
        <x:f>'Statements'!M14</x:f>
        <x:v>0.4542680072503679</x:v>
      </x:c>
      <x:c r="N9" s="3"/>
      <x:c r="O9" s="3"/>
      <x:c r="P9" s="3"/>
      <x:c r="Q9" s="3"/>
    </x:row>
    <x:row r="10" ht="20" customHeight="1">
      <x:c r="C10" s="20" t="str">
        <x:v>Net income</x:v>
      </x:c>
      <x:c r="D10" s="21" t="n">
        <x:f>'Statements'!D20</x:f>
        <x:v>72738</x:v>
      </x:c>
      <x:c r="E10" s="21" t="n">
        <x:f>'Statements'!E20</x:f>
        <x:v>72361</x:v>
      </x:c>
      <x:c r="F10" s="21" t="n">
        <x:f>'Statements'!F20</x:f>
        <x:v>88136</x:v>
      </x:c>
      <x:c r="G10" s="21" t="n">
        <x:f>'Statements'!G20</x:f>
        <x:v>101832</x:v>
      </x:c>
      <x:c r="H10" s="21" t="n">
        <x:f>'Statements'!H20</x:f>
        <x:v>133749</x:v>
      </x:c>
      <x:c r="I10" s="70" t="n">
        <x:f>'Statements'!I20</x:f>
        <x:v>146014.25049935488</x:v>
      </x:c>
      <x:c r="J10" s="70" t="n">
        <x:f>'Statements'!J20</x:f>
        <x:v>170383.48867428154</x:v>
      </x:c>
      <x:c r="K10" s="70" t="n">
        <x:f>'Statements'!K20</x:f>
        <x:v>199293.90540228056</x:v>
      </x:c>
      <x:c r="L10" s="70" t="n">
        <x:f>'Statements'!L20</x:f>
        <x:v>231882.50568572688</x:v>
      </x:c>
      <x:c r="M10" s="70" t="n">
        <x:f>'Statements'!M20</x:f>
        <x:v>262045.7033404151</x:v>
      </x:c>
      <x:c r="N10" s="3"/>
      <x:c r="O10" s="3"/>
      <x:c r="P10" s="3"/>
      <x:c r="Q10" s="3"/>
    </x:row>
    <x:row r="11" ht="20" customHeight="1">
      <x:c r="C11" s="3" t="str">
        <x:v>Diluted EPS</x:v>
      </x:c>
      <x:c r="D11" s="28" t="n">
        <x:f>'Statements'!D22</x:f>
        <x:v>9.65</x:v>
      </x:c>
      <x:c r="E11" s="28" t="n">
        <x:f>'Statements'!E22</x:f>
        <x:v>9.68</x:v>
      </x:c>
      <x:c r="F11" s="28" t="n">
        <x:f>'Statements'!F22</x:f>
        <x:v>11.8</x:v>
      </x:c>
      <x:c r="G11" s="28" t="n">
        <x:f>'Statements'!G22</x:f>
        <x:v>13.64</x:v>
      </x:c>
      <x:c r="H11" s="28" t="n">
        <x:f>'Statements'!H22</x:f>
        <x:v>17.95</x:v>
      </x:c>
      <x:c r="I11" s="62" t="n">
        <x:f>'Statements'!I22</x:f>
        <x:v>19.608443206366413</x:v>
      </x:c>
      <x:c r="J11" s="62" t="n">
        <x:f>'Statements'!J22</x:f>
        <x:v>22.911284863517626</x:v>
      </x:c>
      <x:c r="K11" s="62" t="n">
        <x:f>'Statements'!K22</x:f>
        <x:v>26.841990349354784</x:v>
      </x:c>
      <x:c r="L11" s="62" t="n">
        <x:f>'Statements'!L22</x:f>
        <x:v>31.294138539174302</x:v>
      </x:c>
      <x:c r="M11" s="62" t="n">
        <x:f>'Statements'!M22</x:f>
        <x:v>35.451515388758516</x:v>
      </x:c>
      <x:c r="N11" s="3"/>
      <x:c r="O11" s="3"/>
      <x:c r="P11" s="3"/>
      <x:c r="Q11" s="3"/>
    </x:row>
    <x:row r="12" ht="20" customHeight="1">
      <x:c r="C12" s="3"/>
      <x:c r="D12" s="12"/>
      <x:c r="E12" s="12"/>
      <x:c r="F12" s="12"/>
      <x:c r="G12" s="12"/>
      <x:c r="H12" s="12"/>
      <x:c r="I12" s="5"/>
      <x:c r="J12" s="5"/>
      <x:c r="K12" s="5"/>
      <x:c r="L12" s="5"/>
      <x:c r="M12" s="5"/>
      <x:c r="N12" s="3"/>
      <x:c r="O12" s="3"/>
      <x:c r="P12" s="3"/>
      <x:c r="Q12" s="3"/>
    </x:row>
    <x:row r="13" ht="20" customHeight="1">
      <x:c r="C13" s="20" t="str">
        <x:v>Cash from operations</x:v>
      </x:c>
      <x:c r="D13" s="21" t="n">
        <x:f>'Statements'!D77</x:f>
        <x:v>89035</x:v>
      </x:c>
      <x:c r="E13" s="21" t="n">
        <x:f>'Statements'!E77</x:f>
        <x:v>87582</x:v>
      </x:c>
      <x:c r="F13" s="21" t="n">
        <x:f>'Statements'!F77</x:f>
        <x:v>118548</x:v>
      </x:c>
      <x:c r="G13" s="21" t="n">
        <x:f>'Statements'!G77</x:f>
        <x:v>136162</x:v>
      </x:c>
      <x:c r="H13" s="21" t="n">
        <x:f>'Statements'!H77</x:f>
        <x:v>182935</x:v>
      </x:c>
      <x:c r="I13" s="70" t="n">
        <x:f>'Statements'!I77</x:f>
        <x:v>213343.15417774156</x:v>
      </x:c>
      <x:c r="J13" s="70" t="n">
        <x:f>'Statements'!J77</x:f>
        <x:v>262955.28351559374</x:v>
      </x:c>
      <x:c r="K13" s="70" t="n">
        <x:f>'Statements'!K77</x:f>
        <x:v>317579.7934751659</x:v>
      </x:c>
      <x:c r="L13" s="70" t="n">
        <x:f>'Statements'!L77</x:f>
        <x:v>375554.8736512221</x:v>
      </x:c>
      <x:c r="M13" s="70" t="n">
        <x:f>'Statements'!M77</x:f>
        <x:v>431642.1837029391</x:v>
      </x:c>
      <x:c r="N13" s="3"/>
      <x:c r="O13" s="3"/>
      <x:c r="P13" s="3"/>
      <x:c r="Q13" s="3"/>
    </x:row>
    <x:row r="14" ht="20" customHeight="1">
      <x:c r="C14" s="3" t="str">
        <x:v>Cash capital expenditure</x:v>
      </x:c>
      <x:c r="D14" s="12" t="n">
        <x:f>-'Statements'!D79</x:f>
        <x:v>23886</x:v>
      </x:c>
      <x:c r="E14" s="12" t="n">
        <x:f>-'Statements'!E79</x:f>
        <x:v>28107</x:v>
      </x:c>
      <x:c r="F14" s="12" t="n">
        <x:f>-'Statements'!F79</x:f>
        <x:v>44477</x:v>
      </x:c>
      <x:c r="G14" s="12" t="n">
        <x:f>-'Statements'!G79</x:f>
        <x:v>64551</x:v>
      </x:c>
      <x:c r="H14" s="12" t="n">
        <x:f>-'Statements'!H79</x:f>
        <x:v>115948</x:v>
      </x:c>
      <x:c r="I14" s="5" t="n">
        <x:f>-'Statements'!I79</x:f>
        <x:v>167793.30539999998</x:v>
      </x:c>
      <x:c r="J14" s="5" t="n">
        <x:f>-'Statements'!J79</x:f>
        <x:v>175814.109382</x:v>
      </x:c>
      <x:c r="K14" s="5" t="n">
        <x:f>-'Statements'!K79</x:f>
        <x:v>177764.56019008</x:v>
      </x:c>
      <x:c r="L14" s="5" t="n">
        <x:f>-'Statements'!L79</x:f>
        <x:v>178114.95447417282</x:v>
      </x:c>
      <x:c r="M14" s="5" t="n">
        <x:f>-'Statements'!M79</x:f>
        <x:v>177913.06635674817</x:v>
      </x:c>
      <x:c r="N14" s="3"/>
      <x:c r="O14" s="3"/>
      <x:c r="P14" s="3"/>
      <x:c r="Q14" s="3"/>
    </x:row>
    <x:row r="15" ht="20" customHeight="1">
      <x:c r="C15" s="20" t="str">
        <x:v>Unlevered free cash flow</x:v>
      </x:c>
      <x:c r="D15" s="21"/>
      <x:c r="E15" s="21"/>
      <x:c r="F15" s="21"/>
      <x:c r="G15" s="21"/>
      <x:c r="H15" s="21"/>
      <x:c r="I15" s="70" t="n">
        <x:f>'DCF'!I14</x:f>
        <x:v>16064.139159280094</x:v>
      </x:c>
      <x:c r="J15" s="70" t="n">
        <x:f>'DCF'!J14</x:f>
        <x:v>55430.36700620845</x:v>
      </x:c>
      <x:c r="K15" s="70" t="n">
        <x:f>'DCF'!K14</x:f>
        <x:v>105353.51998379303</x:v>
      </x:c>
      <x:c r="L15" s="70" t="n">
        <x:f>'DCF'!L14</x:f>
        <x:v>159794.13510198818</x:v>
      </x:c>
      <x:c r="M15" s="70" t="n">
        <x:f>'DCF'!M14</x:f>
        <x:v>212590.52911472906</x:v>
      </x:c>
      <x:c r="N15" s="3"/>
      <x:c r="O15" s="3"/>
      <x:c r="P15" s="3"/>
      <x:c r="Q15" s="3"/>
    </x:row>
    <x:row r="16" ht="20" customHeight="1">
      <x:c r="C16" s="3"/>
      <x:c r="D16" s="42"/>
      <x:c r="E16" s="42"/>
      <x:c r="F16" s="42"/>
      <x:c r="G16" s="42"/>
      <x:c r="H16" s="42"/>
      <x:c r="I16" s="5"/>
      <x:c r="J16" s="5"/>
      <x:c r="K16" s="5"/>
      <x:c r="L16" s="5"/>
      <x:c r="M16" s="5"/>
      <x:c r="N16" s="3"/>
      <x:c r="O16" s="3"/>
      <x:c r="P16" s="3"/>
      <x:c r="Q16" s="3"/>
    </x:row>
    <x:row r="17" ht="20" customHeight="1">
      <x:c r="C17" s="3"/>
      <x:c r="D17" s="42"/>
      <x:c r="E17" s="42"/>
      <x:c r="F17" s="42"/>
      <x:c r="G17" s="42"/>
      <x:c r="H17" s="42"/>
      <x:c r="I17" s="5"/>
      <x:c r="J17" s="5"/>
      <x:c r="K17" s="5"/>
      <x:c r="L17" s="5"/>
      <x:c r="M17" s="5"/>
      <x:c r="N17" s="3"/>
      <x:c r="O17" s="3"/>
      <x:c r="P17" s="3"/>
      <x:c r="Q17" s="3"/>
    </x:row>
    <x:row r="18" ht="20" customHeight="1">
      <x:c r="C18" s="3"/>
      <x:c r="D18" s="42"/>
      <x:c r="E18" s="42"/>
      <x:c r="F18" s="42"/>
      <x:c r="G18" s="42"/>
      <x:c r="H18" s="42"/>
      <x:c r="I18" s="5"/>
      <x:c r="J18" s="5"/>
      <x:c r="K18" s="5"/>
      <x:c r="L18" s="5"/>
      <x:c r="M18" s="5"/>
      <x:c r="N18" s="3"/>
      <x:c r="O18" s="3"/>
      <x:c r="P18" s="3"/>
      <x:c r="Q18" s="3"/>
    </x:row>
    <x:row r="19" ht="25" customHeight="1">
      <x:c r="C19" s="66" t="str">
        <x:v>DCF value per share</x:v>
      </x:c>
      <x:c r="D19" s="80" t="n">
        <x:f>'DCF'!D36</x:f>
        <x:v>355.1197880108746</x:v>
      </x:c>
      <x:c r="E19" s="42"/>
      <x:c r="F19" s="42"/>
      <x:c r="G19" s="42"/>
      <x:c r="H19" s="42"/>
      <x:c r="I19" s="5"/>
      <x:c r="J19" s="5"/>
      <x:c r="K19" s="5"/>
      <x:c r="L19" s="5"/>
      <x:c r="M19" s="5"/>
      <x:c r="N19" s="3"/>
      <x:c r="O19" s="3"/>
      <x:c r="P19" s="3"/>
      <x:c r="Q19" s="3"/>
    </x:row>
    <x:row r="20" ht="25" customHeight="1">
      <x:c r="C20" s="66" t="str">
        <x:v>Observed share price</x:v>
      </x:c>
      <x:c r="D20" s="80" t="n">
        <x:f>'DCF'!D37</x:f>
        <x:v>530.17</x:v>
      </x:c>
      <x:c r="E20" s="42"/>
      <x:c r="F20" s="42"/>
      <x:c r="G20" s="42"/>
      <x:c r="H20" s="42"/>
      <x:c r="I20" s="5"/>
      <x:c r="J20" s="5"/>
      <x:c r="K20" s="5"/>
      <x:c r="L20" s="5"/>
      <x:c r="M20" s="5"/>
      <x:c r="N20" s="3"/>
      <x:c r="O20" s="3"/>
      <x:c r="P20" s="3"/>
      <x:c r="Q20" s="3"/>
    </x:row>
    <x:row r="21" ht="25" customHeight="1">
      <x:c r="C21" s="66" t="str">
        <x:v>Implied upside / (downside)</x:v>
      </x:c>
      <x:c r="D21" s="81" t="n">
        <x:f>'DCF'!D38</x:f>
        <x:v>-0.3301775128527178</x:v>
      </x:c>
      <x:c r="E21" s="42"/>
      <x:c r="F21" s="42"/>
      <x:c r="G21" s="42"/>
      <x:c r="H21" s="42"/>
      <x:c r="I21" s="5"/>
      <x:c r="J21" s="5"/>
      <x:c r="K21" s="5"/>
      <x:c r="L21" s="5"/>
      <x:c r="M21" s="5"/>
      <x:c r="N21" s="3"/>
      <x:c r="O21" s="3"/>
      <x:c r="P21" s="3"/>
      <x:c r="Q21" s="3"/>
    </x:row>
    <x:row r="22" ht="20" customHeight="1">
      <x:c r="C22" s="3"/>
      <x:c r="D22" s="42"/>
      <x:c r="E22" s="42"/>
      <x:c r="F22" s="42"/>
      <x:c r="G22" s="42"/>
      <x:c r="H22" s="42"/>
      <x:c r="I22" s="5"/>
      <x:c r="J22" s="5"/>
      <x:c r="K22" s="5"/>
      <x:c r="L22" s="5"/>
      <x:c r="M22" s="5"/>
      <x:c r="N22" s="3"/>
      <x:c r="O22" s="3"/>
      <x:c r="P22" s="3"/>
      <x:c r="Q22" s="3"/>
    </x:row>
    <x:row r="23" ht="20" customHeight="1">
      <x:c r="C23" s="3" t="str">
        <x:v>WACC</x:v>
      </x:c>
      <x:c r="D23" s="100" t="n">
        <x:f>'DCF'!D17</x:f>
        <x:v>0.09552143228193932</x:v>
      </x:c>
      <x:c r="E23" s="42"/>
      <x:c r="F23" s="42"/>
      <x:c r="G23" s="42"/>
      <x:c r="H23" s="42"/>
      <x:c r="I23" s="5"/>
      <x:c r="J23" s="5"/>
      <x:c r="K23" s="5"/>
      <x:c r="L23" s="5"/>
      <x:c r="M23" s="5"/>
      <x:c r="N23" s="3"/>
      <x:c r="O23" s="3"/>
      <x:c r="P23" s="3"/>
      <x:c r="Q23" s="3"/>
    </x:row>
    <x:row r="24" ht="20" customHeight="1">
      <x:c r="C24" s="3" t="str">
        <x:v>Terminal growth</x:v>
      </x:c>
      <x:c r="D24" s="45" t="n">
        <x:f>'DCF'!D18</x:f>
        <x:v>0.03</x:v>
      </x:c>
      <x:c r="E24" s="42"/>
      <x:c r="F24" s="42"/>
      <x:c r="G24" s="42"/>
      <x:c r="H24" s="42"/>
      <x:c r="I24" s="5"/>
      <x:c r="J24" s="5"/>
      <x:c r="K24" s="5"/>
      <x:c r="L24" s="5"/>
      <x:c r="M24" s="5"/>
      <x:c r="N24" s="3"/>
      <x:c r="O24" s="3"/>
      <x:c r="P24" s="3"/>
      <x:c r="Q24" s="3"/>
    </x:row>
    <x:row r="25" ht="20" customHeight="1">
      <x:c r="C25" s="3" t="str">
        <x:v>Terminal return on invested capital</x:v>
      </x:c>
      <x:c r="D25" s="45" t="n">
        <x:f>'DCF'!D19</x:f>
        <x:v>0.2</x:v>
      </x:c>
      <x:c r="E25" s="42"/>
      <x:c r="F25" s="42"/>
      <x:c r="G25" s="42"/>
      <x:c r="H25" s="42"/>
      <x:c r="I25" s="5"/>
      <x:c r="J25" s="5"/>
      <x:c r="K25" s="5"/>
      <x:c r="L25" s="5"/>
      <x:c r="M25" s="5"/>
      <x:c r="N25" s="3"/>
      <x:c r="O25" s="3"/>
      <x:c r="P25" s="3"/>
      <x:c r="Q25" s="3"/>
    </x:row>
    <x:row r="26" ht="20" customHeight="1">
      <x:c r="C26" s="3" t="str">
        <x:v>Terminal value / enterprise value</x:v>
      </x:c>
      <x:c r="D26" s="45" t="n">
        <x:f>'DCF'!D39</x:f>
        <x:v>0.8515185362261467</x:v>
      </x:c>
      <x:c r="E26" s="42"/>
      <x:c r="F26" s="42"/>
      <x:c r="G26" s="42"/>
      <x:c r="H26" s="42"/>
      <x:c r="I26" s="5"/>
      <x:c r="J26" s="5"/>
      <x:c r="K26" s="5"/>
      <x:c r="L26" s="5"/>
      <x:c r="M26" s="5"/>
      <x:c r="N26" s="3"/>
      <x:c r="O26" s="3"/>
      <x:c r="P26" s="3"/>
      <x:c r="Q26" s="3"/>
    </x:row>
    <x:row r="27" ht="20" customHeight="1">
      <x:c r="C27" s="3"/>
      <x:c r="D27" s="42"/>
      <x:c r="E27" s="42"/>
      <x:c r="F27" s="42"/>
      <x:c r="G27" s="42"/>
      <x:c r="H27" s="42"/>
      <x:c r="I27" s="5"/>
      <x:c r="J27" s="5"/>
      <x:c r="K27" s="5"/>
      <x:c r="L27" s="5"/>
      <x:c r="M27" s="5"/>
      <x:c r="N27" s="3"/>
      <x:c r="O27" s="3"/>
      <x:c r="P27" s="3"/>
      <x:c r="Q27" s="3"/>
    </x:row>
    <x:row r="28" ht="20" customHeight="1">
      <x:c r="C28" s="3"/>
      <x:c r="D28" s="42"/>
      <x:c r="E28" s="42"/>
      <x:c r="F28" s="42"/>
      <x:c r="G28" s="42"/>
      <x:c r="H28" s="42"/>
      <x:c r="I28" s="5"/>
      <x:c r="J28" s="5"/>
      <x:c r="K28" s="5"/>
      <x:c r="L28" s="5"/>
      <x:c r="M28" s="5"/>
      <x:c r="N28" s="3"/>
      <x:c r="O28" s="3"/>
      <x:c r="P28" s="3"/>
      <x:c r="Q28" s="3"/>
    </x:row>
    <x:row r="29" ht="20" customHeight="1">
      <x:c r="C29" s="3" t="str">
        <x:v>Begin with Assumptions. Change blue inputs, then review Statements, DCF and Checks.</x:v>
      </x:c>
      <x:c r="D29" s="42"/>
      <x:c r="E29" s="42"/>
      <x:c r="F29" s="42"/>
      <x:c r="G29" s="42"/>
      <x:c r="H29" s="42"/>
      <x:c r="I29" s="5"/>
      <x:c r="J29" s="5"/>
      <x:c r="K29" s="5"/>
      <x:c r="L29" s="5"/>
      <x:c r="M29" s="5"/>
      <x:c r="N29" s="3"/>
      <x:c r="O29" s="3"/>
      <x:c r="P29" s="3"/>
      <x:c r="Q29" s="3"/>
    </x:row>
    <x:row r="30" ht="20" customHeight="1">
      <x:c r="C30" s="3"/>
      <x:c r="D30" s="42"/>
      <x:c r="E30" s="42"/>
      <x:c r="F30" s="42"/>
      <x:c r="G30" s="42"/>
      <x:c r="H30" s="42"/>
      <x:c r="I30" s="5"/>
      <x:c r="J30" s="5"/>
      <x:c r="K30" s="5"/>
      <x:c r="L30" s="5"/>
      <x:c r="M30" s="5"/>
      <x:c r="N30" s="3"/>
      <x:c r="O30" s="3"/>
      <x:c r="P30" s="3"/>
      <x:c r="Q30" s="3"/>
    </x:row>
    <x:row r="31" ht="20" customHeight="1">
      <x:c r="C31" s="3" t="str">
        <x:v>Base-case forecast. Management guidance and analyst estimates are identified beside the assumptions.</x:v>
      </x:c>
      <x:c r="D31" s="42"/>
      <x:c r="E31" s="42"/>
      <x:c r="F31" s="42"/>
      <x:c r="G31" s="42"/>
      <x:c r="H31" s="42"/>
      <x:c r="I31" s="5"/>
      <x:c r="J31" s="5"/>
      <x:c r="K31" s="5"/>
      <x:c r="L31" s="5"/>
      <x:c r="M31" s="5"/>
      <x:c r="N31" s="3"/>
      <x:c r="O31" s="3"/>
      <x:c r="P31" s="3"/>
      <x:c r="Q31" s="3"/>
    </x:row>
    <x:row r="32" ht="20" customHeight="1">
      <x:c r="C32" s="3"/>
      <x:c r="D32" s="42"/>
      <x:c r="E32" s="42"/>
      <x:c r="F32" s="42"/>
      <x:c r="G32" s="42"/>
      <x:c r="H32" s="42"/>
      <x:c r="I32" s="5"/>
      <x:c r="J32" s="5"/>
      <x:c r="K32" s="5"/>
      <x:c r="L32" s="5"/>
      <x:c r="M32" s="5"/>
      <x:c r="N32" s="3"/>
      <x:c r="O32" s="3"/>
      <x:c r="P32" s="3"/>
      <x:c r="Q32" s="3"/>
    </x:row>
    <x:row r="33" ht="20" customHeight="1">
      <x:c r="C33" s="3" t="str">
        <x:v>Valuation date: October 26, 2026. FY2027 Q1 results are scheduled for October 28 and are not included.</x:v>
      </x:c>
      <x:c r="D33" s="42"/>
      <x:c r="E33" s="42"/>
      <x:c r="F33" s="42"/>
      <x:c r="G33" s="42"/>
      <x:c r="H33" s="42"/>
      <x:c r="I33" s="5"/>
      <x:c r="J33" s="5"/>
      <x:c r="K33" s="5"/>
      <x:c r="L33" s="5"/>
      <x:c r="M33" s="5"/>
      <x:c r="N33" s="3"/>
      <x:c r="O33" s="3"/>
      <x:c r="P33" s="3"/>
      <x:c r="Q33" s="3"/>
    </x:row>
    <x:row r="34" ht="20" customHeight="1">
      <x:c r="C34" s="3"/>
      <x:c r="D34" s="42"/>
      <x:c r="E34" s="42"/>
      <x:c r="F34" s="42"/>
      <x:c r="G34" s="42"/>
      <x:c r="H34" s="42"/>
      <x:c r="I34" s="5"/>
      <x:c r="J34" s="5"/>
      <x:c r="K34" s="5"/>
      <x:c r="L34" s="5"/>
      <x:c r="M34" s="5"/>
      <x:c r="N34" s="3"/>
      <x:c r="O34" s="3"/>
      <x:c r="P34" s="3"/>
      <x:c r="Q34" s="3"/>
    </x:row>
    <x:row r="35" ht="20" customHeight="1">
      <x:c r="C35" s="3" t="str">
        <x:v>Terminal cash flow uses sustainable reinvestment at 20% ROIC, rather than extending a temporary capex trough.</x:v>
      </x:c>
      <x:c r="D35" s="42"/>
      <x:c r="E35" s="42"/>
      <x:c r="F35" s="42"/>
      <x:c r="G35" s="42"/>
      <x:c r="H35" s="42"/>
      <x:c r="I35" s="5"/>
      <x:c r="J35" s="5"/>
      <x:c r="K35" s="5"/>
      <x:c r="L35" s="5"/>
      <x:c r="M35" s="5"/>
      <x:c r="N35" s="3"/>
      <x:c r="O35" s="3"/>
      <x:c r="P35" s="3"/>
      <x:c r="Q35" s="3"/>
    </x:row>
    <x:row r="36" ht="20" customHeight="1">
      <x:c r="C36" s="3"/>
      <x:c r="D36" s="42"/>
      <x:c r="E36" s="42"/>
      <x:c r="F36" s="42"/>
      <x:c r="G36" s="42"/>
      <x:c r="H36" s="42"/>
      <x:c r="I36" s="5"/>
      <x:c r="J36" s="5"/>
      <x:c r="K36" s="5"/>
      <x:c r="L36" s="5"/>
      <x:c r="M36" s="5"/>
      <x:c r="N36" s="3"/>
      <x:c r="O36" s="3"/>
      <x:c r="P36" s="3"/>
      <x:c r="Q36" s="3"/>
    </x:row>
    <x:row r="37" ht="20" customHeight="1">
      <x:c r="C37" s="3" t="str">
        <x:v>Cash capex and finance-lease additions both reduce DCF cash flow. Stock compensation is kept as an expense.</x:v>
      </x:c>
      <x:c r="D37" s="42"/>
      <x:c r="E37" s="42"/>
      <x:c r="F37" s="42"/>
      <x:c r="G37" s="42"/>
      <x:c r="H37" s="42"/>
      <x:c r="I37" s="5"/>
      <x:c r="J37" s="5"/>
      <x:c r="K37" s="5"/>
      <x:c r="L37" s="5"/>
      <x:c r="M37" s="5"/>
      <x:c r="N37" s="3"/>
      <x:c r="O37" s="3"/>
      <x:c r="P37" s="3"/>
      <x:c r="Q37" s="3"/>
    </x:row>
    <x:row r="38" ht="20" customHeight="1">
      <x:c r="C38" s="3"/>
      <x:c r="D38" s="42"/>
      <x:c r="E38" s="42"/>
      <x:c r="F38" s="42"/>
      <x:c r="G38" s="42"/>
      <x:c r="H38" s="42"/>
      <x:c r="I38" s="5"/>
      <x:c r="J38" s="5"/>
      <x:c r="K38" s="5"/>
      <x:c r="L38" s="5"/>
      <x:c r="M38" s="5"/>
      <x:c r="N38" s="3"/>
      <x:c r="O38" s="3"/>
      <x:c r="P38" s="3"/>
      <x:c r="Q38" s="3"/>
    </x:row>
    <x:row r="39" ht="20" customHeight="1">
      <x:c r="C39" s="3" t="str">
        <x:v>The net-debt bridge uses forecast-based estimates between the last reported balance sheet and the valuation date.</x:v>
      </x:c>
      <x:c r="D39" s="42"/>
      <x:c r="E39" s="42"/>
      <x:c r="F39" s="42"/>
      <x:c r="G39" s="42"/>
      <x:c r="H39" s="42"/>
      <x:c r="I39" s="5"/>
      <x:c r="J39" s="5"/>
      <x:c r="K39" s="5"/>
      <x:c r="L39" s="5"/>
      <x:c r="M39" s="5"/>
      <x:c r="N39" s="3"/>
      <x:c r="O39" s="3"/>
      <x:c r="P39" s="3"/>
      <x:c r="Q39" s="3"/>
    </x:row>
    <x:row r="40" ht="20" customHeight="1">
      <x:c r="C40" s="3"/>
      <x:c r="D40" s="42"/>
      <x:c r="E40" s="42"/>
      <x:c r="F40" s="42"/>
      <x:c r="G40" s="42"/>
      <x:c r="H40" s="42"/>
      <x:c r="I40" s="5"/>
      <x:c r="J40" s="5"/>
      <x:c r="K40" s="5"/>
      <x:c r="L40" s="5"/>
      <x:c r="M40" s="5"/>
      <x:c r="N40" s="3"/>
      <x:c r="O40" s="3"/>
      <x:c r="P40" s="3"/>
      <x:c r="Q40" s="3"/>
    </x:row>
    <x:row r="41" ht="20" customHeight="1">
      <x:c r="C41" s="3"/>
      <x:c r="D41" s="42"/>
      <x:c r="E41" s="42"/>
      <x:c r="F41" s="42"/>
      <x:c r="G41" s="42"/>
      <x:c r="H41" s="42"/>
      <x:c r="I41" s="5"/>
      <x:c r="J41" s="5"/>
      <x:c r="K41" s="5"/>
      <x:c r="L41" s="5"/>
      <x:c r="M41" s="5"/>
      <x:c r="N41" s="3"/>
      <x:c r="O41" s="3"/>
      <x:c r="P41" s="3"/>
      <x:c r="Q41" s="3"/>
    </x:row>
    <x:row r="42" ht="20" customHeight="1">
      <x:c r="C42" s="3"/>
      <x:c r="D42" s="42"/>
      <x:c r="E42" s="42"/>
      <x:c r="F42" s="42"/>
      <x:c r="G42" s="42"/>
      <x:c r="H42" s="42"/>
      <x:c r="I42" s="5"/>
      <x:c r="J42" s="5"/>
      <x:c r="K42" s="5"/>
      <x:c r="L42" s="5"/>
      <x:c r="M42" s="5"/>
      <x:c r="N42" s="3"/>
      <x:c r="O42" s="3"/>
      <x:c r="P42" s="3"/>
      <x:c r="Q42" s="3"/>
    </x:row>
    <x:row r="43" ht="20" customHeight="1">
      <x:c r="C43" s="3"/>
      <x:c r="D43" s="42"/>
      <x:c r="E43" s="42"/>
      <x:c r="F43" s="42"/>
      <x:c r="G43" s="42"/>
      <x:c r="H43" s="42"/>
      <x:c r="I43" s="5"/>
      <x:c r="J43" s="5"/>
      <x:c r="K43" s="5"/>
      <x:c r="L43" s="5"/>
      <x:c r="M43" s="5"/>
      <x:c r="N43" s="3"/>
      <x:c r="O43" s="3"/>
      <x:c r="P43" s="3"/>
      <x:c r="Q43" s="3"/>
    </x:row>
    <x:row r="44" ht="20" customHeight="1">
      <x:c r="C44" s="3"/>
      <x:c r="D44" s="42"/>
      <x:c r="E44" s="42"/>
      <x:c r="F44" s="42"/>
      <x:c r="G44" s="42"/>
      <x:c r="H44" s="42"/>
      <x:c r="I44" s="5"/>
      <x:c r="J44" s="5"/>
      <x:c r="K44" s="5"/>
      <x:c r="L44" s="5"/>
      <x:c r="M44" s="5"/>
      <x:c r="N44" s="3"/>
      <x:c r="O44" s="3"/>
      <x:c r="P44" s="3"/>
      <x:c r="Q44" s="3"/>
    </x:row>
    <x:row r="45" ht="20" customHeight="1">
      <x:c r="C45" s="3"/>
      <x:c r="D45" s="42"/>
      <x:c r="E45" s="42"/>
      <x:c r="F45" s="42"/>
      <x:c r="G45" s="42"/>
      <x:c r="H45" s="42"/>
      <x:c r="I45" s="5"/>
      <x:c r="J45" s="5"/>
      <x:c r="K45" s="5"/>
      <x:c r="L45" s="5"/>
      <x:c r="M45" s="5"/>
      <x:c r="N45" s="3"/>
      <x:c r="O45" s="3"/>
      <x:c r="P45" s="3"/>
      <x:c r="Q45" s="3"/>
    </x:row>
    <x:row r="46" ht="20" customHeight="1">
      <x:c r="C46" s="3"/>
      <x:c r="D46" s="42"/>
      <x:c r="E46" s="42"/>
      <x:c r="F46" s="42"/>
      <x:c r="G46" s="42"/>
      <x:c r="H46" s="42"/>
      <x:c r="I46" s="5"/>
      <x:c r="J46" s="5"/>
      <x:c r="K46" s="5"/>
      <x:c r="L46" s="5"/>
      <x:c r="M46" s="5"/>
      <x:c r="N46" s="3"/>
      <x:c r="O46" s="3"/>
      <x:c r="P46" s="3"/>
      <x:c r="Q46" s="3"/>
    </x:row>
    <x:row r="47" ht="20" customHeight="1">
      <x:c r="C47" s="3"/>
      <x:c r="D47" s="42"/>
      <x:c r="E47" s="42"/>
      <x:c r="F47" s="42"/>
      <x:c r="G47" s="42"/>
      <x:c r="H47" s="42"/>
      <x:c r="I47" s="5"/>
      <x:c r="J47" s="5"/>
      <x:c r="K47" s="5"/>
      <x:c r="L47" s="5"/>
      <x:c r="M47" s="5"/>
      <x:c r="N47" s="3"/>
      <x:c r="O47" s="3"/>
      <x:c r="P47" s="3"/>
      <x:c r="Q47" s="3"/>
    </x:row>
    <x:row r="48" ht="20" customHeight="1">
      <x:c r="C48" s="3"/>
      <x:c r="D48" s="42"/>
      <x:c r="E48" s="42"/>
      <x:c r="F48" s="42"/>
      <x:c r="G48" s="42"/>
      <x:c r="H48" s="42"/>
      <x:c r="I48" s="5"/>
      <x:c r="J48" s="5"/>
      <x:c r="K48" s="5"/>
      <x:c r="L48" s="5"/>
      <x:c r="M48" s="5"/>
      <x:c r="N48" s="3"/>
      <x:c r="O48" s="3"/>
      <x:c r="P48" s="3"/>
      <x:c r="Q48" s="3"/>
    </x:row>
    <x:row r="49" ht="20" customHeight="1">
      <x:c r="C49" s="3"/>
      <x:c r="D49" s="42"/>
      <x:c r="E49" s="42"/>
      <x:c r="F49" s="42"/>
      <x:c r="G49" s="42"/>
      <x:c r="H49" s="42"/>
      <x:c r="I49" s="5"/>
      <x:c r="J49" s="5"/>
      <x:c r="K49" s="5"/>
      <x:c r="L49" s="5"/>
      <x:c r="M49" s="5"/>
      <x:c r="N49" s="3"/>
      <x:c r="O49" s="3"/>
      <x:c r="P49" s="3"/>
      <x:c r="Q49" s="3"/>
    </x:row>
    <x:row r="50" ht="20" customHeight="1">
      <x:c r="C50" s="3"/>
      <x:c r="D50" s="42"/>
      <x:c r="E50" s="42"/>
      <x:c r="F50" s="42"/>
      <x:c r="G50" s="42"/>
      <x:c r="H50" s="42"/>
      <x:c r="I50" s="5"/>
      <x:c r="J50" s="5"/>
      <x:c r="K50" s="5"/>
      <x:c r="L50" s="5"/>
      <x:c r="M50" s="5"/>
      <x:c r="N50" s="3"/>
      <x:c r="O50" s="3"/>
      <x:c r="P50" s="3"/>
      <x:c r="Q50" s="3"/>
    </x:row>
    <x:row r="51" ht="20" customHeight="1">
      <x:c r="C51" s="3"/>
      <x:c r="D51" s="42"/>
      <x:c r="E51" s="42"/>
      <x:c r="F51" s="42"/>
      <x:c r="G51" s="42"/>
      <x:c r="H51" s="42"/>
      <x:c r="I51" s="5"/>
      <x:c r="J51" s="5"/>
      <x:c r="K51" s="5"/>
      <x:c r="L51" s="5"/>
      <x:c r="M51" s="5"/>
      <x:c r="N51" s="3"/>
      <x:c r="O51" s="3"/>
      <x:c r="P51" s="3"/>
      <x:c r="Q51" s="3"/>
    </x:row>
    <x:row r="52" ht="20" customHeight="1">
      <x:c r="C52" s="3"/>
      <x:c r="D52" s="42"/>
      <x:c r="E52" s="42"/>
      <x:c r="F52" s="42"/>
      <x:c r="G52" s="42"/>
      <x:c r="H52" s="42"/>
      <x:c r="I52" s="5"/>
      <x:c r="J52" s="5"/>
      <x:c r="K52" s="5"/>
      <x:c r="L52" s="5"/>
      <x:c r="M52" s="5"/>
      <x:c r="N52" s="3"/>
      <x:c r="O52" s="3"/>
      <x:c r="P52" s="3"/>
      <x:c r="Q52" s="3"/>
    </x:row>
    <x:row r="53" ht="20" customHeight="1">
      <x:c r="C53" s="3"/>
      <x:c r="D53" s="42"/>
      <x:c r="E53" s="42"/>
      <x:c r="F53" s="42"/>
      <x:c r="G53" s="42"/>
      <x:c r="H53" s="42"/>
      <x:c r="I53" s="5"/>
      <x:c r="J53" s="5"/>
      <x:c r="K53" s="5"/>
      <x:c r="L53" s="5"/>
      <x:c r="M53" s="5"/>
      <x:c r="N53" s="3"/>
      <x:c r="O53" s="3"/>
      <x:c r="P53" s="3"/>
      <x:c r="Q53" s="3"/>
    </x:row>
    <x:row r="54" ht="20" customHeight="1">
      <x:c r="C54" s="3"/>
      <x:c r="D54" s="42"/>
      <x:c r="E54" s="42"/>
      <x:c r="F54" s="42"/>
      <x:c r="G54" s="42"/>
      <x:c r="H54" s="42"/>
      <x:c r="I54" s="5" t="str">
        <x:v>Fiscal year</x:v>
      </x:c>
      <x:c r="J54" s="5" t="str">
        <x:v>Revenue</x:v>
      </x:c>
      <x:c r="K54" s="5" t="str">
        <x:v>Unlevered FCF</x:v>
      </x:c>
      <x:c r="L54" s="5"/>
      <x:c r="M54" s="5"/>
      <x:c r="N54" s="3"/>
      <x:c r="O54" s="3"/>
      <x:c r="P54" s="3"/>
      <x:c r="Q54" s="3"/>
    </x:row>
    <x:row r="55" ht="20" customHeight="1">
      <x:c r="C55" s="3"/>
      <x:c r="D55" s="42"/>
      <x:c r="E55" s="42"/>
      <x:c r="F55" s="42"/>
      <x:c r="G55" s="42"/>
      <x:c r="H55" s="42"/>
      <x:c r="I55" s="5" t="str">
        <x:v>FY:27</x:v>
      </x:c>
      <x:c r="J55" s="5" t="n">
        <x:f>'Statements'!I7</x:f>
        <x:v>399507.87</x:v>
      </x:c>
      <x:c r="K55" s="5" t="n">
        <x:f>'DCF'!I14</x:f>
        <x:v>16064.139159280094</x:v>
      </x:c>
      <x:c r="L55" s="5"/>
      <x:c r="M55" s="5"/>
      <x:c r="N55" s="3"/>
      <x:c r="O55" s="3"/>
      <x:c r="P55" s="3"/>
      <x:c r="Q55" s="3"/>
    </x:row>
    <x:row r="56" ht="20" customHeight="1">
      <x:c r="C56" s="3"/>
      <x:c r="D56" s="42"/>
      <x:c r="E56" s="42"/>
      <x:c r="F56" s="42"/>
      <x:c r="G56" s="42"/>
      <x:c r="H56" s="42"/>
      <x:c r="I56" s="5" t="str">
        <x:v>FY:28</x:v>
      </x:c>
      <x:c r="J56" s="5" t="n">
        <x:f>'Statements'!J7</x:f>
        <x:v>475173.2686</x:v>
      </x:c>
      <x:c r="K56" s="5" t="n">
        <x:f>'DCF'!J14</x:f>
        <x:v>55430.36700620845</x:v>
      </x:c>
      <x:c r="L56" s="5"/>
      <x:c r="M56" s="5"/>
      <x:c r="N56" s="3"/>
      <x:c r="O56" s="3"/>
      <x:c r="P56" s="3"/>
      <x:c r="Q56" s="3"/>
    </x:row>
    <x:row r="57" ht="20" customHeight="1">
      <x:c r="C57" s="3"/>
      <x:c r="D57" s="42"/>
      <x:c r="E57" s="42"/>
      <x:c r="F57" s="42"/>
      <x:c r="G57" s="42"/>
      <x:c r="H57" s="42"/>
      <x:c r="I57" s="5" t="str">
        <x:v>FY:29</x:v>
      </x:c>
      <x:c r="J57" s="5" t="n">
        <x:f>'Statements'!K7</x:f>
        <x:v>555514.250594</x:v>
      </x:c>
      <x:c r="K57" s="5" t="n">
        <x:f>'DCF'!K14</x:f>
        <x:v>105353.51998379303</x:v>
      </x:c>
      <x:c r="L57" s="5"/>
      <x:c r="M57" s="5"/>
      <x:c r="N57" s="3"/>
      <x:c r="O57" s="3"/>
      <x:c r="P57" s="3"/>
      <x:c r="Q57" s="3"/>
    </x:row>
    <x:row r="58" ht="20" customHeight="1">
      <x:c r="C58" s="3"/>
      <x:c r="D58" s="42"/>
      <x:c r="E58" s="42"/>
      <x:c r="F58" s="42"/>
      <x:c r="G58" s="42"/>
      <x:c r="H58" s="42"/>
      <x:c r="I58" s="5" t="str">
        <x:v>FY:30</x:v>
      </x:c>
      <x:c r="J58" s="5" t="n">
        <x:f>'Statements'!L7</x:f>
        <x:v>636124.83740776</x:v>
      </x:c>
      <x:c r="K58" s="5" t="n">
        <x:f>'DCF'!L14</x:f>
        <x:v>159794.13510198818</x:v>
      </x:c>
      <x:c r="L58" s="5"/>
      <x:c r="M58" s="5"/>
      <x:c r="N58" s="3"/>
      <x:c r="O58" s="3"/>
      <x:c r="P58" s="3"/>
      <x:c r="Q58" s="3"/>
    </x:row>
    <x:row r="59" ht="20" customHeight="1">
      <x:c r="C59" s="3"/>
      <x:c r="D59" s="42"/>
      <x:c r="E59" s="42"/>
      <x:c r="F59" s="42"/>
      <x:c r="G59" s="42"/>
      <x:c r="H59" s="42"/>
      <x:c r="I59" s="5" t="str">
        <x:v>FY:31</x:v>
      </x:c>
      <x:c r="J59" s="5" t="n">
        <x:f>'Statements'!M7</x:f>
        <x:v>711652.2654269927</x:v>
      </x:c>
      <x:c r="K59" s="5" t="n">
        <x:f>'DCF'!M14</x:f>
        <x:v>212590.52911472906</x:v>
      </x:c>
      <x:c r="L59" s="5"/>
      <x:c r="M59" s="5"/>
      <x:c r="N59" s="3"/>
      <x:c r="O59" s="3"/>
      <x:c r="P59" s="3"/>
      <x:c r="Q59" s="3"/>
    </x:row>
    <x:row r="60" ht="20" customHeight="1">
      <x:c r="C60" s="3"/>
      <x:c r="D60" s="42"/>
      <x:c r="E60" s="42"/>
      <x:c r="F60" s="42"/>
      <x:c r="G60" s="42"/>
      <x:c r="H60" s="42"/>
      <x:c r="I60" s="5"/>
      <x:c r="J60" s="5"/>
      <x:c r="K60" s="5"/>
      <x:c r="L60" s="5"/>
      <x:c r="M60" s="5"/>
      <x:c r="N60" s="3"/>
      <x:c r="O60" s="3"/>
      <x:c r="P60" s="3"/>
      <x:c r="Q60" s="3"/>
    </x:row>
    <x:row r="61" ht="20" customHeight="1">
      <x:c r="C61" s="3"/>
      <x:c r="D61" s="42"/>
      <x:c r="E61" s="42"/>
      <x:c r="F61" s="42"/>
      <x:c r="G61" s="42"/>
      <x:c r="H61" s="42"/>
      <x:c r="I61" s="5"/>
      <x:c r="J61" s="5"/>
      <x:c r="K61" s="5"/>
      <x:c r="L61" s="5"/>
      <x:c r="M61" s="5"/>
      <x:c r="N61" s="3"/>
      <x:c r="O61" s="3"/>
      <x:c r="P61" s="3"/>
      <x:c r="Q61" s="3"/>
    </x:row>
    <x:row r="62" ht="20" customHeight="1">
      <x:c r="C62" s="3"/>
      <x:c r="D62" s="42"/>
      <x:c r="E62" s="42"/>
      <x:c r="F62" s="42"/>
      <x:c r="G62" s="42"/>
      <x:c r="H62" s="42"/>
      <x:c r="I62" s="5"/>
      <x:c r="J62" s="5"/>
      <x:c r="K62" s="5"/>
      <x:c r="L62" s="5"/>
      <x:c r="M62" s="5"/>
      <x:c r="N62" s="3"/>
      <x:c r="O62" s="3"/>
      <x:c r="P62" s="3"/>
      <x:c r="Q62" s="3"/>
    </x:row>
    <x:row r="63" ht="20" customHeight="1">
      <x:c r="C63" s="3"/>
      <x:c r="D63" s="42"/>
      <x:c r="E63" s="42"/>
      <x:c r="F63" s="42"/>
      <x:c r="G63" s="42"/>
      <x:c r="H63" s="42"/>
      <x:c r="I63" s="5"/>
      <x:c r="J63" s="5"/>
      <x:c r="K63" s="5"/>
      <x:c r="L63" s="5"/>
      <x:c r="M63" s="5"/>
      <x:c r="N63" s="3"/>
      <x:c r="O63" s="3"/>
      <x:c r="P63" s="3"/>
      <x:c r="Q63" s="3"/>
    </x:row>
    <x:row r="64" ht="20" customHeight="1">
      <x:c r="C64" s="3"/>
      <x:c r="D64" s="42"/>
      <x:c r="E64" s="42"/>
      <x:c r="F64" s="42"/>
      <x:c r="G64" s="42"/>
      <x:c r="H64" s="42"/>
      <x:c r="I64" s="5"/>
      <x:c r="J64" s="5"/>
      <x:c r="K64" s="5"/>
      <x:c r="L64" s="5"/>
      <x:c r="M64" s="5"/>
      <x:c r="N64" s="3"/>
      <x:c r="O64" s="3"/>
      <x:c r="P64" s="3"/>
      <x:c r="Q64" s="3"/>
    </x:row>
    <x:row r="65" ht="20" customHeight="1">
      <x:c r="C65" s="3"/>
      <x:c r="D65" s="42"/>
      <x:c r="E65" s="42"/>
      <x:c r="F65" s="42"/>
      <x:c r="G65" s="42"/>
      <x:c r="H65" s="42"/>
      <x:c r="I65" s="5"/>
      <x:c r="J65" s="5"/>
      <x:c r="K65" s="5"/>
      <x:c r="L65" s="5"/>
      <x:c r="M65" s="5"/>
      <x:c r="N65" s="3"/>
      <x:c r="O65" s="3"/>
      <x:c r="P65" s="3"/>
      <x:c r="Q65" s="3"/>
    </x:row>
    <x:row r="66" ht="20" customHeight="1">
      <x:c r="C66" s="3"/>
      <x:c r="D66" s="42"/>
      <x:c r="E66" s="42"/>
      <x:c r="F66" s="42"/>
      <x:c r="G66" s="42"/>
      <x:c r="H66" s="42"/>
      <x:c r="I66" s="5"/>
      <x:c r="J66" s="5"/>
      <x:c r="K66" s="5"/>
      <x:c r="L66" s="5"/>
      <x:c r="M66" s="5"/>
      <x:c r="N66" s="3"/>
      <x:c r="O66" s="3"/>
      <x:c r="P66" s="3"/>
      <x:c r="Q66" s="3"/>
    </x:row>
    <x:row r="67" ht="20" customHeight="1">
      <x:c r="C67" s="3"/>
      <x:c r="D67" s="42"/>
      <x:c r="E67" s="42"/>
      <x:c r="F67" s="42"/>
      <x:c r="G67" s="42"/>
      <x:c r="H67" s="42"/>
      <x:c r="I67" s="5"/>
      <x:c r="J67" s="5"/>
      <x:c r="K67" s="5"/>
      <x:c r="L67" s="5"/>
      <x:c r="M67" s="5"/>
      <x:c r="N67" s="3"/>
      <x:c r="O67" s="3"/>
      <x:c r="P67" s="3"/>
      <x:c r="Q67" s="3"/>
    </x:row>
    <x:row r="68" ht="20" customHeight="1">
      <x:c r="C68" s="3"/>
      <x:c r="D68" s="42"/>
      <x:c r="E68" s="42"/>
      <x:c r="F68" s="42"/>
      <x:c r="G68" s="42"/>
      <x:c r="H68" s="42"/>
      <x:c r="I68" s="5"/>
      <x:c r="J68" s="5"/>
      <x:c r="K68" s="5"/>
      <x:c r="L68" s="5"/>
      <x:c r="M68" s="5"/>
      <x:c r="N68" s="3"/>
      <x:c r="O68" s="3"/>
      <x:c r="P68" s="3"/>
      <x:c r="Q68" s="3"/>
    </x:row>
    <x:row r="69" ht="20" customHeight="1">
      <x:c r="C69" s="3"/>
      <x:c r="D69" s="42"/>
      <x:c r="E69" s="42"/>
      <x:c r="F69" s="42"/>
      <x:c r="G69" s="42"/>
      <x:c r="H69" s="42"/>
      <x:c r="I69" s="5"/>
      <x:c r="J69" s="5"/>
      <x:c r="K69" s="5"/>
      <x:c r="L69" s="5"/>
      <x:c r="M69" s="5"/>
      <x:c r="N69" s="3"/>
      <x:c r="O69" s="3"/>
      <x:c r="P69" s="3"/>
      <x:c r="Q69" s="3"/>
    </x:row>
    <x:row r="70" ht="20" customHeight="1">
      <x:c r="C70" s="3"/>
      <x:c r="D70" s="42"/>
      <x:c r="E70" s="42"/>
      <x:c r="F70" s="42"/>
      <x:c r="G70" s="42"/>
      <x:c r="H70" s="42"/>
      <x:c r="I70" s="5"/>
      <x:c r="J70" s="5"/>
      <x:c r="K70" s="5"/>
      <x:c r="L70" s="5"/>
      <x:c r="M70" s="5"/>
      <x:c r="N70" s="3"/>
      <x:c r="O70" s="3"/>
      <x:c r="P70" s="3"/>
      <x:c r="Q70" s="3"/>
    </x:row>
    <x:row r="71" ht="20" customHeight="1">
      <x:c r="C71" s="3"/>
      <x:c r="D71" s="42"/>
      <x:c r="E71" s="42"/>
      <x:c r="F71" s="42"/>
      <x:c r="G71" s="42"/>
      <x:c r="H71" s="42"/>
      <x:c r="I71" s="5"/>
      <x:c r="J71" s="5"/>
      <x:c r="K71" s="5"/>
      <x:c r="L71" s="5"/>
      <x:c r="M71" s="5"/>
      <x:c r="N71" s="3"/>
      <x:c r="O71" s="3"/>
      <x:c r="P71" s="3"/>
      <x:c r="Q71" s="3"/>
    </x:row>
    <x:row r="72" ht="20" customHeight="1">
      <x:c r="C72" s="3"/>
      <x:c r="D72" s="42"/>
      <x:c r="E72" s="42"/>
      <x:c r="F72" s="42"/>
      <x:c r="G72" s="42"/>
      <x:c r="H72" s="42"/>
      <x:c r="I72" s="5"/>
      <x:c r="J72" s="5"/>
      <x:c r="K72" s="5"/>
      <x:c r="L72" s="5"/>
      <x:c r="M72" s="5"/>
      <x:c r="N72" s="3"/>
      <x:c r="O72" s="3"/>
      <x:c r="P72" s="3"/>
      <x:c r="Q72" s="3"/>
    </x:row>
    <x:row r="73" ht="20" customHeight="1">
      <x:c r="C73" s="3"/>
      <x:c r="D73" s="42"/>
      <x:c r="E73" s="42"/>
      <x:c r="F73" s="42"/>
      <x:c r="G73" s="42"/>
      <x:c r="H73" s="42"/>
      <x:c r="I73" s="5"/>
      <x:c r="J73" s="5"/>
      <x:c r="K73" s="5"/>
      <x:c r="L73" s="5"/>
      <x:c r="M73" s="5"/>
      <x:c r="N73" s="3"/>
      <x:c r="O73" s="3"/>
      <x:c r="P73" s="3"/>
      <x:c r="Q73" s="3"/>
    </x:row>
    <x:row r="74" ht="20" customHeight="1">
      <x:c r="C74" s="3"/>
      <x:c r="D74" s="42"/>
      <x:c r="E74" s="42"/>
      <x:c r="F74" s="42"/>
      <x:c r="G74" s="42"/>
      <x:c r="H74" s="42"/>
      <x:c r="I74" s="5"/>
      <x:c r="J74" s="5"/>
      <x:c r="K74" s="5"/>
      <x:c r="L74" s="5"/>
      <x:c r="M74" s="5"/>
      <x:c r="N74" s="3"/>
      <x:c r="O74" s="3"/>
      <x:c r="P74" s="3"/>
      <x:c r="Q74" s="3"/>
    </x:row>
    <x:row r="75" ht="20" customHeight="1">
      <x:c r="C75" s="3"/>
      <x:c r="D75" s="42"/>
      <x:c r="E75" s="42"/>
      <x:c r="F75" s="42"/>
      <x:c r="G75" s="42"/>
      <x:c r="H75" s="42"/>
      <x:c r="I75" s="5"/>
      <x:c r="J75" s="5"/>
      <x:c r="K75" s="5"/>
      <x:c r="L75" s="5"/>
      <x:c r="M75" s="5"/>
      <x:c r="N75" s="3"/>
      <x:c r="O75" s="3"/>
      <x:c r="P75" s="3"/>
      <x:c r="Q75" s="3"/>
    </x:row>
    <x:row r="76" ht="20" customHeight="1">
      <x:c r="C76" s="3"/>
      <x:c r="D76" s="42"/>
      <x:c r="E76" s="42"/>
      <x:c r="F76" s="42"/>
      <x:c r="G76" s="42"/>
      <x:c r="H76" s="42"/>
      <x:c r="I76" s="5"/>
      <x:c r="J76" s="5"/>
      <x:c r="K76" s="5"/>
      <x:c r="L76" s="5"/>
      <x:c r="M76" s="5"/>
      <x:c r="N76" s="3"/>
      <x:c r="O76" s="3"/>
      <x:c r="P76" s="3"/>
      <x:c r="Q76" s="3"/>
    </x:row>
    <x:row r="77" ht="20" customHeight="1">
      <x:c r="C77" s="3"/>
      <x:c r="D77" s="42"/>
      <x:c r="E77" s="42"/>
      <x:c r="F77" s="42"/>
      <x:c r="G77" s="42"/>
      <x:c r="H77" s="42"/>
      <x:c r="I77" s="5"/>
      <x:c r="J77" s="5"/>
      <x:c r="K77" s="5"/>
      <x:c r="L77" s="5"/>
      <x:c r="M77" s="5"/>
      <x:c r="N77" s="3"/>
      <x:c r="O77" s="3"/>
      <x:c r="P77" s="3"/>
      <x:c r="Q77" s="3"/>
    </x:row>
    <x:row r="78" ht="20" customHeight="1">
      <x:c r="C78" s="3"/>
      <x:c r="D78" s="42"/>
      <x:c r="E78" s="42"/>
      <x:c r="F78" s="42"/>
      <x:c r="G78" s="42"/>
      <x:c r="H78" s="42"/>
      <x:c r="I78" s="5"/>
      <x:c r="J78" s="5"/>
      <x:c r="K78" s="5"/>
      <x:c r="L78" s="5"/>
      <x:c r="M78" s="5"/>
      <x:c r="N78" s="3"/>
      <x:c r="O78" s="3"/>
      <x:c r="P78" s="3"/>
      <x:c r="Q78" s="3"/>
    </x:row>
    <x:row r="79" ht="20" customHeight="1">
      <x:c r="C79" s="3"/>
      <x:c r="D79" s="42"/>
      <x:c r="E79" s="42"/>
      <x:c r="F79" s="42"/>
      <x:c r="G79" s="42"/>
      <x:c r="H79" s="42"/>
      <x:c r="I79" s="5"/>
      <x:c r="J79" s="5"/>
      <x:c r="K79" s="5"/>
      <x:c r="L79" s="5"/>
      <x:c r="M79" s="5"/>
      <x:c r="N79" s="3"/>
      <x:c r="O79" s="3"/>
      <x:c r="P79" s="3"/>
      <x:c r="Q79" s="3"/>
    </x:row>
    <x:row r="80" ht="20" customHeight="1">
      <x:c r="C80" s="3"/>
      <x:c r="D80" s="42"/>
      <x:c r="E80" s="42"/>
      <x:c r="F80" s="42"/>
      <x:c r="G80" s="42"/>
      <x:c r="H80" s="42"/>
      <x:c r="I80" s="5"/>
      <x:c r="J80" s="5"/>
      <x:c r="K80" s="5"/>
      <x:c r="L80" s="5"/>
      <x:c r="M80" s="5"/>
      <x:c r="N80" s="3"/>
      <x:c r="O80" s="3"/>
      <x:c r="P80" s="3"/>
      <x:c r="Q80" s="3"/>
    </x:row>
    <x:row r="81" ht="20" customHeight="1">
      <x:c r="C81" s="3"/>
      <x:c r="D81" s="42"/>
      <x:c r="E81" s="42"/>
      <x:c r="F81" s="42"/>
      <x:c r="G81" s="42"/>
      <x:c r="H81" s="42"/>
      <x:c r="I81" s="5"/>
      <x:c r="J81" s="5"/>
      <x:c r="K81" s="5"/>
      <x:c r="L81" s="5"/>
      <x:c r="M81" s="5"/>
      <x:c r="N81" s="3"/>
      <x:c r="O81" s="3"/>
      <x:c r="P81" s="3"/>
      <x:c r="Q81" s="3"/>
    </x:row>
    <x:row r="82" ht="20" customHeight="1">
      <x:c r="C82" s="3"/>
      <x:c r="D82" s="42"/>
      <x:c r="E82" s="42"/>
      <x:c r="F82" s="42"/>
      <x:c r="G82" s="42"/>
      <x:c r="H82" s="42"/>
      <x:c r="I82" s="5"/>
      <x:c r="J82" s="5"/>
      <x:c r="K82" s="5"/>
      <x:c r="L82" s="5"/>
      <x:c r="M82" s="5"/>
      <x:c r="N82" s="3"/>
      <x:c r="O82" s="3"/>
      <x:c r="P82" s="3"/>
      <x:c r="Q82" s="3"/>
    </x:row>
    <x:row r="83" ht="20" customHeight="1">
      <x:c r="C83" s="3"/>
      <x:c r="D83" s="42"/>
      <x:c r="E83" s="42"/>
      <x:c r="F83" s="42"/>
      <x:c r="G83" s="42"/>
      <x:c r="H83" s="42"/>
      <x:c r="I83" s="5"/>
      <x:c r="J83" s="5"/>
      <x:c r="K83" s="5"/>
      <x:c r="L83" s="5"/>
      <x:c r="M83" s="5"/>
      <x:c r="N83" s="3"/>
      <x:c r="O83" s="3"/>
      <x:c r="P83" s="3"/>
      <x:c r="Q83" s="3"/>
    </x:row>
    <x:row r="84" ht="20" customHeight="1">
      <x:c r="C84" s="3"/>
      <x:c r="D84" s="42"/>
      <x:c r="E84" s="42"/>
      <x:c r="F84" s="42"/>
      <x:c r="G84" s="42"/>
      <x:c r="H84" s="42"/>
      <x:c r="I84" s="5"/>
      <x:c r="J84" s="5"/>
      <x:c r="K84" s="5"/>
      <x:c r="L84" s="5"/>
      <x:c r="M84" s="5"/>
      <x:c r="N84" s="3"/>
      <x:c r="O84" s="3"/>
      <x:c r="P84" s="3"/>
      <x:c r="Q84" s="3"/>
    </x:row>
    <x:row r="85" ht="20" customHeight="1">
      <x:c r="C85" s="3"/>
      <x:c r="D85" s="42"/>
      <x:c r="E85" s="42"/>
      <x:c r="F85" s="42"/>
      <x:c r="G85" s="42"/>
      <x:c r="H85" s="42"/>
      <x:c r="I85" s="5"/>
      <x:c r="J85" s="5"/>
      <x:c r="K85" s="5"/>
      <x:c r="L85" s="5"/>
      <x:c r="M85" s="5"/>
      <x:c r="N85" s="3"/>
      <x:c r="O85" s="3"/>
      <x:c r="P85" s="3"/>
      <x:c r="Q85" s="3"/>
    </x:row>
    <x:row r="86" ht="20" customHeight="1">
      <x:c r="C86" s="3"/>
      <x:c r="D86" s="42"/>
      <x:c r="E86" s="42"/>
      <x:c r="F86" s="42"/>
      <x:c r="G86" s="42"/>
      <x:c r="H86" s="42"/>
      <x:c r="I86" s="5"/>
      <x:c r="J86" s="5"/>
      <x:c r="K86" s="5"/>
      <x:c r="L86" s="5"/>
      <x:c r="M86" s="5"/>
      <x:c r="N86" s="3"/>
      <x:c r="O86" s="3"/>
      <x:c r="P86" s="3"/>
      <x:c r="Q86" s="3"/>
    </x:row>
    <x:row r="87" ht="20" customHeight="1">
      <x:c r="C87" s="3"/>
      <x:c r="D87" s="42"/>
      <x:c r="E87" s="42"/>
      <x:c r="F87" s="42"/>
      <x:c r="G87" s="42"/>
      <x:c r="H87" s="42"/>
      <x:c r="I87" s="5"/>
      <x:c r="J87" s="5"/>
      <x:c r="K87" s="5"/>
      <x:c r="L87" s="5"/>
      <x:c r="M87" s="5"/>
      <x:c r="N87" s="3"/>
      <x:c r="O87" s="3"/>
      <x:c r="P87" s="3"/>
      <x:c r="Q87" s="3"/>
    </x:row>
    <x:row r="88" ht="20" customHeight="1">
      <x:c r="C88" s="3"/>
      <x:c r="D88" s="42"/>
      <x:c r="E88" s="42"/>
      <x:c r="F88" s="42"/>
      <x:c r="G88" s="42"/>
      <x:c r="H88" s="42"/>
      <x:c r="I88" s="5"/>
      <x:c r="J88" s="5"/>
      <x:c r="K88" s="5"/>
      <x:c r="L88" s="5"/>
      <x:c r="M88" s="5"/>
      <x:c r="N88" s="3"/>
      <x:c r="O88" s="3"/>
      <x:c r="P88" s="3"/>
      <x:c r="Q88" s="3"/>
    </x:row>
    <x:row r="89" ht="20" customHeight="1">
      <x:c r="C89" s="3"/>
      <x:c r="D89" s="42"/>
      <x:c r="E89" s="42"/>
      <x:c r="F89" s="42"/>
      <x:c r="G89" s="42"/>
      <x:c r="H89" s="42"/>
      <x:c r="I89" s="5"/>
      <x:c r="J89" s="5"/>
      <x:c r="K89" s="5"/>
      <x:c r="L89" s="5"/>
      <x:c r="M89" s="5"/>
      <x:c r="N89" s="3"/>
      <x:c r="O89" s="3"/>
      <x:c r="P89" s="3"/>
      <x:c r="Q89" s="3"/>
    </x:row>
    <x:row r="90" ht="20" customHeight="1">
      <x:c r="C90" s="3"/>
      <x:c r="D90" s="42"/>
      <x:c r="E90" s="42"/>
      <x:c r="F90" s="42"/>
      <x:c r="G90" s="42"/>
      <x:c r="H90" s="42"/>
      <x:c r="I90" s="5"/>
      <x:c r="J90" s="5"/>
      <x:c r="K90" s="5"/>
      <x:c r="L90" s="5"/>
      <x:c r="M90" s="5"/>
      <x:c r="N90" s="3"/>
      <x:c r="O90" s="3"/>
      <x:c r="P90" s="3"/>
      <x:c r="Q90" s="3"/>
    </x:row>
  </x:sheetData>
  <x:pageMargins left="0.7" right="0.7" top="0.75" bottom="0.75" header="0.3" footer="0.3"/>
  <x:drawing xmlns:r="http://schemas.openxmlformats.org/officeDocument/2006/relationships" r:id="R38188586247c490a"/>
</x:worksheet>
</file>

<file path=xl/worksheets/sheet2.xml><?xml version="1.0" encoding="utf-8"?>
<x:worksheet xmlns:x="http://schemas.openxmlformats.org/spreadsheetml/2006/main">
  <x:sheetPr>
    <x:tabColor rgb="FF497C9D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0" hidden="0" customWidth="1"/>
    <x:col min="16" max="16" width="16" hidden="0" customWidth="1"/>
    <x:col min="17" max="17" width="16" hidden="0" customWidth="1"/>
  </x:cols>
  <x:sheetData>
    <x:row r="1" ht="20" customHeight="1"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C2" s="7" t="str">
        <x:v>Forecast assumptions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3"/>
      <x:c r="O2" s="3"/>
      <x:c r="P2" s="3"/>
      <x:c r="Q2" s="3"/>
    </x:row>
    <x:row r="3" ht="20" customHeight="1">
      <x:c r="C3" s="8" t="str">
        <x:v>USD millions except shares (millions), per-share values and rates</x:v>
      </x:c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3"/>
      <x:c r="O3" s="3"/>
      <x:c r="P3" s="3"/>
      <x:c r="Q3" s="3"/>
    </x:row>
    <x:row r="4" ht="24" customHeight="1">
      <x:c r="C4" s="11"/>
      <x:c r="D4" s="11"/>
      <x:c r="E4" s="11"/>
      <x:c r="F4" s="11"/>
      <x:c r="G4" s="11"/>
      <x:c r="H4" s="11" t="str">
        <x:v>FY:26 A</x:v>
      </x:c>
      <x:c r="I4" s="11" t="str">
        <x:v>FY:27 F</x:v>
      </x:c>
      <x:c r="J4" s="11" t="str">
        <x:v>FY:28 F</x:v>
      </x:c>
      <x:c r="K4" s="11" t="str">
        <x:v>FY:29 F</x:v>
      </x:c>
      <x:c r="L4" s="11" t="str">
        <x:v>FY:30 F</x:v>
      </x:c>
      <x:c r="M4" s="11" t="str">
        <x:v>FY:31 F</x:v>
      </x:c>
      <x:c r="N4" s="3"/>
      <x:c r="O4" s="3" t="str">
        <x:v>Basis and explanation</x:v>
      </x:c>
      <x:c r="P4" s="3"/>
      <x:c r="Q4" s="3"/>
    </x:row>
    <x:row r="5" ht="20" customHeight="1">
      <x:c r="C5" s="3"/>
      <x:c r="D5" s="42"/>
      <x:c r="E5" s="42"/>
      <x:c r="F5" s="42"/>
      <x:c r="G5" s="42"/>
      <x:c r="H5" s="12"/>
      <x:c r="I5" s="13"/>
      <x:c r="J5" s="13"/>
      <x:c r="K5" s="13"/>
      <x:c r="L5" s="13"/>
      <x:c r="M5" s="13"/>
      <x:c r="N5" s="3"/>
      <x:c r="O5" s="3"/>
      <x:c r="P5" s="3"/>
      <x:c r="Q5" s="3"/>
    </x:row>
    <x:row r="6" ht="20" customHeight="1">
      <x:c r="C6" s="25" t="str">
        <x:v>Agents and Infra revenue growth</x:v>
      </x:c>
      <x:c r="D6" s="82"/>
      <x:c r="E6" s="82"/>
      <x:c r="F6" s="82"/>
      <x:c r="G6" s="82"/>
      <x:c r="H6" s="75" t="n">
        <x:f>'Revenue'!H8</x:f>
        <x:v>0.2255385473277174</x:v>
      </x:c>
      <x:c r="I6" s="40" t="n">
        <x:v>0.25</x:v>
      </x:c>
      <x:c r="J6" s="40" t="n">
        <x:v>0.22</x:v>
      </x:c>
      <x:c r="K6" s="40" t="n">
        <x:v>0.19</x:v>
      </x:c>
      <x:c r="L6" s="40" t="n">
        <x:v>0.16</x:v>
      </x:c>
      <x:c r="M6" s="40" t="n">
        <x:v>0.13</x:v>
      </x:c>
      <x:c r="N6" s="3"/>
      <x:c r="O6" s="36" t="str">
        <x:v>Analyst: growth slows as the business becomes larger. FY27 Q1 guidance is a near-term cross-check.</x:v>
      </x:c>
      <x:c r="P6" s="3"/>
      <x:c r="Q6" s="3"/>
    </x:row>
    <x:row r="7" ht="20" customHeight="1">
      <x:c r="C7" s="25" t="str">
        <x:v>Devices and Consumer revenue growth</x:v>
      </x:c>
      <x:c r="D7" s="82"/>
      <x:c r="E7" s="82"/>
      <x:c r="F7" s="82"/>
      <x:c r="G7" s="82"/>
      <x:c r="H7" s="75" t="n">
        <x:f>'Revenue'!H18</x:f>
        <x:v>0.0122495670548608</x:v>
      </x:c>
      <x:c r="I7" s="40" t="n">
        <x:v>0.01</x:v>
      </x:c>
      <x:c r="J7" s="40" t="n">
        <x:v>0.03</x:v>
      </x:c>
      <x:c r="K7" s="40" t="n">
        <x:v>0.04</x:v>
      </x:c>
      <x:c r="L7" s="40" t="n">
        <x:v>0.04</x:v>
      </x:c>
      <x:c r="M7" s="40" t="n">
        <x:v>0.03</x:v>
      </x:c>
      <x:c r="N7" s="3"/>
      <x:c r="O7" s="36" t="str">
        <x:v>Analyst: weak near-term Windows and gaming, then modest recovery.</x:v>
      </x:c>
      <x:c r="P7" s="3"/>
      <x:c r="Q7" s="3"/>
    </x:row>
    <x:row r="8" ht="20" customHeight="1">
      <x:c r="C8" s="25" t="str">
        <x:v>Agents cash gross margin, before D&amp;A / rent</x:v>
      </x:c>
      <x:c r="D8" s="82"/>
      <x:c r="E8" s="82"/>
      <x:c r="F8" s="82"/>
      <x:c r="G8" s="82"/>
      <x:c r="H8" s="75" t="n">
        <x:f>'Revenue'!H10</x:f>
        <x:v>0.8458870865148623</x:v>
      </x:c>
      <x:c r="I8" s="40" t="n">
        <x:v>0.83</x:v>
      </x:c>
      <x:c r="J8" s="40" t="n">
        <x:v>0.84</x:v>
      </x:c>
      <x:c r="K8" s="40" t="n">
        <x:v>0.85</x:v>
      </x:c>
      <x:c r="L8" s="40" t="n">
        <x:v>0.86</x:v>
      </x:c>
      <x:c r="M8" s="40" t="n">
        <x:v>0.865</x:v>
      </x:c>
      <x:c r="N8" s="3"/>
      <x:c r="O8" s="36" t="str">
        <x:v>Analyst: mix and utilization gains. Depreciation and operating lease expense are deducted separately.</x:v>
      </x:c>
      <x:c r="P8" s="3"/>
      <x:c r="Q8" s="3"/>
    </x:row>
    <x:row r="9" ht="20" customHeight="1">
      <x:c r="C9" s="25" t="str">
        <x:v>Consumer cash gross margin, before D&amp;A / rent</x:v>
      </x:c>
      <x:c r="D9" s="82"/>
      <x:c r="E9" s="82"/>
      <x:c r="F9" s="82"/>
      <x:c r="G9" s="82"/>
      <x:c r="H9" s="75" t="n">
        <x:f>'Revenue'!H20</x:f>
        <x:v>0.700461971905285</x:v>
      </x:c>
      <x:c r="I9" s="40" t="n">
        <x:v>0.7</x:v>
      </x:c>
      <x:c r="J9" s="40" t="n">
        <x:v>0.71</x:v>
      </x:c>
      <x:c r="K9" s="40" t="n">
        <x:v>0.72</x:v>
      </x:c>
      <x:c r="L9" s="40" t="n">
        <x:v>0.73</x:v>
      </x:c>
      <x:c r="M9" s="40" t="n">
        <x:v>0.73</x:v>
      </x:c>
      <x:c r="N9" s="3"/>
      <x:c r="O9" s="36" t="str">
        <x:v>Analyst: mature-business mix and cost discipline. Historical cash margin uses an allocation estimate.</x:v>
      </x:c>
      <x:c r="P9" s="3"/>
      <x:c r="Q9" s="3"/>
    </x:row>
    <x:row r="10" ht="20" customHeight="1">
      <x:c r="C10" s="25" t="str">
        <x:v>Agents operating expense / revenue</x:v>
      </x:c>
      <x:c r="D10" s="82"/>
      <x:c r="E10" s="82"/>
      <x:c r="F10" s="82"/>
      <x:c r="G10" s="82"/>
      <x:c r="H10" s="75" t="n">
        <x:f>'Revenue'!H13</x:f>
        <x:v>0.18776549918508767</x:v>
      </x:c>
      <x:c r="I10" s="40" t="n">
        <x:v>0.18</x:v>
      </x:c>
      <x:c r="J10" s="40" t="n">
        <x:v>0.175</x:v>
      </x:c>
      <x:c r="K10" s="40" t="n">
        <x:v>0.17</x:v>
      </x:c>
      <x:c r="L10" s="40" t="n">
        <x:v>0.165</x:v>
      </x:c>
      <x:c r="M10" s="40" t="n">
        <x:v>0.16</x:v>
      </x:c>
      <x:c r="N10" s="3"/>
      <x:c r="O10" s="36" t="str">
        <x:v>Analyst: slower operating-cost growth than revenue. Stock compensation remains an expense.</x:v>
      </x:c>
      <x:c r="P10" s="3"/>
      <x:c r="Q10" s="3"/>
    </x:row>
    <x:row r="11" ht="20" customHeight="1">
      <x:c r="C11" s="25" t="str">
        <x:v>Consumer operating expense / revenue</x:v>
      </x:c>
      <x:c r="D11" s="82"/>
      <x:c r="E11" s="82"/>
      <x:c r="F11" s="82"/>
      <x:c r="G11" s="82"/>
      <x:c r="H11" s="75" t="n">
        <x:f>'Revenue'!H23</x:f>
        <x:v>0.3120762179809141</x:v>
      </x:c>
      <x:c r="I11" s="40" t="n">
        <x:v>0.31</x:v>
      </x:c>
      <x:c r="J11" s="40" t="n">
        <x:v>0.305</x:v>
      </x:c>
      <x:c r="K11" s="40" t="n">
        <x:v>0.3</x:v>
      </x:c>
      <x:c r="L11" s="40" t="n">
        <x:v>0.295</x:v>
      </x:c>
      <x:c r="M11" s="40" t="n">
        <x:v>0.29</x:v>
      </x:c>
      <x:c r="N11" s="3"/>
      <x:c r="O11" s="36" t="str">
        <x:v>Analyst: gradual operating leverage.</x:v>
      </x:c>
      <x:c r="P11" s="3"/>
      <x:c r="Q11" s="3"/>
    </x:row>
    <x:row r="12" ht="20" customHeight="1">
      <x:c r="C12" s="25" t="str">
        <x:v>R&amp;D share of operating expenses</x:v>
      </x:c>
      <x:c r="D12" s="82"/>
      <x:c r="E12" s="82"/>
      <x:c r="F12" s="82"/>
      <x:c r="G12" s="82"/>
      <x:c r="H12" s="26"/>
      <x:c r="I12" s="40" t="n">
        <x:v>0.5063792219627499</x:v>
      </x:c>
      <x:c r="J12" s="40" t="n">
        <x:v>0.5063792219627499</x:v>
      </x:c>
      <x:c r="K12" s="40" t="n">
        <x:v>0.5063792219627499</x:v>
      </x:c>
      <x:c r="L12" s="40" t="n">
        <x:v>0.5063792219627499</x:v>
      </x:c>
      <x:c r="M12" s="40" t="n">
        <x:v>0.5063792219627499</x:v>
      </x:c>
      <x:c r="N12" s="3"/>
      <x:c r="O12" s="36" t="str">
        <x:v>FY2026 expense mix held constant.</x:v>
      </x:c>
      <x:c r="P12" s="3"/>
      <x:c r="Q12" s="3"/>
    </x:row>
    <x:row r="13" ht="20" customHeight="1">
      <x:c r="C13" s="25" t="str">
        <x:v>Sales / marketing share of operating expenses</x:v>
      </x:c>
      <x:c r="D13" s="82"/>
      <x:c r="E13" s="82"/>
      <x:c r="F13" s="82"/>
      <x:c r="G13" s="82"/>
      <x:c r="H13" s="26"/>
      <x:c r="I13" s="40" t="n">
        <x:v>0.38033263085948626</x:v>
      </x:c>
      <x:c r="J13" s="40" t="n">
        <x:v>0.38033263085948626</x:v>
      </x:c>
      <x:c r="K13" s="40" t="n">
        <x:v>0.38033263085948626</x:v>
      </x:c>
      <x:c r="L13" s="40" t="n">
        <x:v>0.38033263085948626</x:v>
      </x:c>
      <x:c r="M13" s="40" t="n">
        <x:v>0.38033263085948626</x:v>
      </x:c>
      <x:c r="N13" s="3"/>
      <x:c r="O13" s="36" t="str">
        <x:v>FY2026 expense mix held constant.</x:v>
      </x:c>
      <x:c r="P13" s="3"/>
      <x:c r="Q13" s="3"/>
    </x:row>
    <x:row r="14" ht="20" customHeight="1">
      <x:c r="C14" s="25" t="str">
        <x:v>G&amp;A share of operating expenses</x:v>
      </x:c>
      <x:c r="D14" s="82"/>
      <x:c r="E14" s="82"/>
      <x:c r="F14" s="82"/>
      <x:c r="G14" s="82"/>
      <x:c r="H14" s="26"/>
      <x:c r="I14" s="40" t="n">
        <x:v>0.11328814717776385</x:v>
      </x:c>
      <x:c r="J14" s="40" t="n">
        <x:v>0.11328814717776385</x:v>
      </x:c>
      <x:c r="K14" s="40" t="n">
        <x:v>0.11328814717776385</x:v>
      </x:c>
      <x:c r="L14" s="40" t="n">
        <x:v>0.11328814717776385</x:v>
      </x:c>
      <x:c r="M14" s="40" t="n">
        <x:v>0.11328814717776385</x:v>
      </x:c>
      <x:c r="N14" s="3"/>
      <x:c r="O14" s="36" t="str">
        <x:v>FY2026 expense mix held constant.</x:v>
      </x:c>
      <x:c r="P14" s="3"/>
      <x:c r="Q14" s="3"/>
    </x:row>
    <x:row r="15" ht="20" customHeight="1">
      <x:c r="C15" s="25" t="str">
        <x:v>Normalized income tax rate</x:v>
      </x:c>
      <x:c r="D15" s="82"/>
      <x:c r="E15" s="82"/>
      <x:c r="F15" s="82"/>
      <x:c r="G15" s="82"/>
      <x:c r="H15" s="75" t="n">
        <x:f>'Statements'!H19/'Statements'!H18</x:f>
        <x:v>0.19396265985271252</x:v>
      </x:c>
      <x:c r="I15" s="40" t="n">
        <x:v>0.2</x:v>
      </x:c>
      <x:c r="J15" s="40" t="n">
        <x:v>0.2</x:v>
      </x:c>
      <x:c r="K15" s="40" t="n">
        <x:v>0.2</x:v>
      </x:c>
      <x:c r="L15" s="40" t="n">
        <x:v>0.2</x:v>
      </x:c>
      <x:c r="M15" s="40" t="n">
        <x:v>0.2</x:v>
      </x:c>
      <x:c r="N15" s="3"/>
      <x:c r="O15" s="36" t="str">
        <x:v>Analyst: 20%, aligned with near-term guidance. Discrete investment gains are excluded.</x:v>
      </x:c>
      <x:c r="P15" s="3"/>
      <x:c r="Q15" s="3"/>
    </x:row>
    <x:row r="16" ht="20" customHeight="1">
      <x:c r="C16" s="25" t="str">
        <x:v>Cash capital expenditure / revenue</x:v>
      </x:c>
      <x:c r="D16" s="82"/>
      <x:c r="E16" s="82"/>
      <x:c r="F16" s="82"/>
      <x:c r="G16" s="82"/>
      <x:c r="H16" s="75" t="n">
        <x:f>-'Statements'!H79/'Statements'!H7</x:f>
        <x:v>0.34941040685392616</x:v>
      </x:c>
      <x:c r="I16" s="40" t="n">
        <x:v>0.42</x:v>
      </x:c>
      <x:c r="J16" s="40" t="n">
        <x:v>0.37</x:v>
      </x:c>
      <x:c r="K16" s="40" t="n">
        <x:v>0.32</x:v>
      </x:c>
      <x:c r="L16" s="40" t="n">
        <x:v>0.28</x:v>
      </x:c>
      <x:c r="M16" s="40" t="n">
        <x:v>0.25</x:v>
      </x:c>
      <x:c r="N16" s="3"/>
      <x:c r="O16" s="36" t="str">
        <x:v>Analyst: infrastructure build stays high, then spending intensity eases.</x:v>
      </x:c>
      <x:c r="P16" s="3"/>
      <x:c r="Q16" s="3"/>
    </x:row>
    <x:row r="17" ht="20" customHeight="1">
      <x:c r="C17" s="25" t="str">
        <x:v>New finance leases / revenue</x:v>
      </x:c>
      <x:c r="D17" s="82"/>
      <x:c r="E17" s="82"/>
      <x:c r="F17" s="82"/>
      <x:c r="G17" s="82"/>
      <x:c r="H17" s="75" t="n">
        <x:f>'Actuals'!H134/'Statements'!H7</x:f>
        <x:v>0.07415644333547293</x:v>
      </x:c>
      <x:c r="I17" s="40" t="n">
        <x:v>0.04</x:v>
      </x:c>
      <x:c r="J17" s="40" t="n">
        <x:v>0.035</x:v>
      </x:c>
      <x:c r="K17" s="40" t="n">
        <x:v>0.03</x:v>
      </x:c>
      <x:c r="L17" s="40" t="n">
        <x:v>0.025</x:v>
      </x:c>
      <x:c r="M17" s="40" t="n">
        <x:v>0.02</x:v>
      </x:c>
      <x:c r="N17" s="3"/>
      <x:c r="O17" s="36" t="str">
        <x:v>Analyst: reduced finance-lease share reflects the announced shift toward operating leases.</x:v>
      </x:c>
      <x:c r="P17" s="3"/>
      <x:c r="Q17" s="3"/>
    </x:row>
    <x:row r="18" ht="20" customHeight="1">
      <x:c r="C18" s="25" t="str">
        <x:v>New operating leases / revenue</x:v>
      </x:c>
      <x:c r="D18" s="82"/>
      <x:c r="E18" s="82"/>
      <x:c r="F18" s="82"/>
      <x:c r="G18" s="82"/>
      <x:c r="H18" s="75" t="n">
        <x:f>'Actuals'!H135/'Statements'!H7</x:f>
        <x:v>0.013726536061162191</x:v>
      </x:c>
      <x:c r="I18" s="40" t="n">
        <x:v>0.03</x:v>
      </x:c>
      <x:c r="J18" s="40" t="n">
        <x:v>0.03</x:v>
      </x:c>
      <x:c r="K18" s="40" t="n">
        <x:v>0.03</x:v>
      </x:c>
      <x:c r="L18" s="40" t="n">
        <x:v>0.025</x:v>
      </x:c>
      <x:c r="M18" s="40" t="n">
        <x:v>0.025</x:v>
      </x:c>
      <x:c r="N18" s="3"/>
      <x:c r="O18" s="36" t="str">
        <x:v>Analyst: more leased capacity after building-life changes. Cash rent is calculated in Capital.</x:v>
      </x:c>
      <x:c r="P18" s="3"/>
      <x:c r="Q18" s="3"/>
    </x:row>
    <x:row r="19" ht="20" customHeight="1">
      <x:c r="C19" s="25" t="str">
        <x:v>Capex accounts payable / cash capex</x:v>
      </x:c>
      <x:c r="D19" s="82"/>
      <x:c r="E19" s="82"/>
      <x:c r="F19" s="82"/>
      <x:c r="G19" s="82"/>
      <x:c r="H19" s="75" t="n">
        <x:f>'Actuals'!H119/(-'Statements'!H79)</x:f>
        <x:v>0.23027564080449855</x:v>
      </x:c>
      <x:c r="I19" s="40" t="n">
        <x:v>0.2</x:v>
      </x:c>
      <x:c r="J19" s="40" t="n">
        <x:v>0.18</x:v>
      </x:c>
      <x:c r="K19" s="40" t="n">
        <x:v>0.16</x:v>
      </x:c>
      <x:c r="L19" s="40" t="n">
        <x:v>0.15</x:v>
      </x:c>
      <x:c r="M19" s="40" t="n">
        <x:v>0.15</x:v>
      </x:c>
      <x:c r="N19" s="3"/>
      <x:c r="O19" s="36" t="str">
        <x:v>Analyst: capital creditor balance moderates from FY2026. Kept outside operating working capital.</x:v>
      </x:c>
      <x:c r="P19" s="3"/>
      <x:c r="Q19" s="3"/>
    </x:row>
    <x:row r="20" ht="20" customHeight="1">
      <x:c r="C20" s="25" t="str">
        <x:v>Stock compensation / revenue</x:v>
      </x:c>
      <x:c r="D20" s="82"/>
      <x:c r="E20" s="82"/>
      <x:c r="F20" s="82"/>
      <x:c r="G20" s="82"/>
      <x:c r="H20" s="75" t="n">
        <x:f>'Statements'!H65/'Statements'!H7</x:f>
        <x:v>0.0373825861336371</x:v>
      </x:c>
      <x:c r="I20" s="40" t="n">
        <x:v>0.037</x:v>
      </x:c>
      <x:c r="J20" s="40" t="n">
        <x:v>0.036</x:v>
      </x:c>
      <x:c r="K20" s="40" t="n">
        <x:v>0.035</x:v>
      </x:c>
      <x:c r="L20" s="40" t="n">
        <x:v>0.034</x:v>
      </x:c>
      <x:c r="M20" s="40" t="n">
        <x:v>0.033</x:v>
      </x:c>
      <x:c r="N20" s="3"/>
      <x:c r="O20" s="36" t="str">
        <x:v>Analyst: slight dilution-cost leverage. Added back only in cash flow, never in DCF.</x:v>
      </x:c>
      <x:c r="P20" s="3"/>
      <x:c r="Q20" s="3"/>
    </x:row>
    <x:row r="21" ht="20" customHeight="1">
      <x:c r="C21" s="3" t="str">
        <x:v>Receivable collection days</x:v>
      </x:c>
      <x:c r="D21" s="95"/>
      <x:c r="E21" s="95"/>
      <x:c r="F21" s="95"/>
      <x:c r="G21" s="95"/>
      <x:c r="H21" s="96" t="n">
        <x:f>'Statements'!H27/'Statements'!H7*365</x:f>
        <x:v>88.95801879827266</x:v>
      </x:c>
      <x:c r="I21" s="97" t="n">
        <x:v>88.95801879827266</x:v>
      </x:c>
      <x:c r="J21" s="97" t="n">
        <x:v>88.95801879827266</x:v>
      </x:c>
      <x:c r="K21" s="97" t="n">
        <x:v>88.95801879827266</x:v>
      </x:c>
      <x:c r="L21" s="97" t="n">
        <x:v>88.95801879827266</x:v>
      </x:c>
      <x:c r="M21" s="97" t="n">
        <x:v>88.95801879827266</x:v>
      </x:c>
      <x:c r="N21" s="3"/>
      <x:c r="O21" s="36" t="str">
        <x:v>FY2026 receivable days held constant.</x:v>
      </x:c>
      <x:c r="P21" s="3"/>
      <x:c r="Q21" s="3"/>
    </x:row>
    <x:row r="22" ht="20" customHeight="1">
      <x:c r="C22" s="3" t="str">
        <x:v>Inventory holding days</x:v>
      </x:c>
      <x:c r="D22" s="95"/>
      <x:c r="E22" s="95"/>
      <x:c r="F22" s="95"/>
      <x:c r="G22" s="95"/>
      <x:c r="H22" s="96" t="n">
        <x:f>'Statements'!H28/'Statements'!H8*365</x:f>
        <x:v>4.793511572376708</x:v>
      </x:c>
      <x:c r="I22" s="97" t="n">
        <x:v>4.793511572376708</x:v>
      </x:c>
      <x:c r="J22" s="97" t="n">
        <x:v>4.793511572376708</x:v>
      </x:c>
      <x:c r="K22" s="97" t="n">
        <x:v>4.793511572376708</x:v>
      </x:c>
      <x:c r="L22" s="97" t="n">
        <x:v>4.793511572376708</x:v>
      </x:c>
      <x:c r="M22" s="97" t="n">
        <x:v>4.793511572376708</x:v>
      </x:c>
      <x:c r="N22" s="3"/>
      <x:c r="O22" s="36" t="str">
        <x:v>FY2026 inventory / cost-of-revenue days held constant.</x:v>
      </x:c>
      <x:c r="P22" s="3"/>
      <x:c r="Q22" s="3"/>
    </x:row>
    <x:row r="23" ht="20" customHeight="1">
      <x:c r="C23" s="3" t="str">
        <x:v>Trade payable days</x:v>
      </x:c>
      <x:c r="D23" s="95"/>
      <x:c r="E23" s="95"/>
      <x:c r="F23" s="95"/>
      <x:c r="G23" s="95"/>
      <x:c r="H23" s="96" t="n">
        <x:f>('Statements'!H39-'Actuals'!H119)/'Statements'!H8*365</x:f>
        <x:v>53.92614736683777</x:v>
      </x:c>
      <x:c r="I23" s="97" t="n">
        <x:v>53.92614736683777</x:v>
      </x:c>
      <x:c r="J23" s="97" t="n">
        <x:v>53.92614736683777</x:v>
      </x:c>
      <x:c r="K23" s="97" t="n">
        <x:v>53.92614736683777</x:v>
      </x:c>
      <x:c r="L23" s="97" t="n">
        <x:v>53.92614736683777</x:v>
      </x:c>
      <x:c r="M23" s="97" t="n">
        <x:v>53.92614736683777</x:v>
      </x:c>
      <x:c r="N23" s="3"/>
      <x:c r="O23" s="36" t="str">
        <x:v>FY2026 trade AP excludes $26.7bn of capital purchases.</x:v>
      </x:c>
      <x:c r="P23" s="3"/>
      <x:c r="Q23" s="3"/>
    </x:row>
    <x:row r="24" ht="20" customHeight="1">
      <x:c r="C24" s="25" t="str">
        <x:v>Other current assets / revenue</x:v>
      </x:c>
      <x:c r="D24" s="82"/>
      <x:c r="E24" s="82"/>
      <x:c r="F24" s="82"/>
      <x:c r="G24" s="82"/>
      <x:c r="H24" s="75" t="n">
        <x:f>'Statements'!H29/'Statements'!H7</x:f>
        <x:v>0.1464384837225281</x:v>
      </x:c>
      <x:c r="I24" s="40" t="n">
        <x:v>0.1464384837225281</x:v>
      </x:c>
      <x:c r="J24" s="40" t="n">
        <x:v>0.1464384837225281</x:v>
      </x:c>
      <x:c r="K24" s="40" t="n">
        <x:v>0.1464384837225281</x:v>
      </x:c>
      <x:c r="L24" s="40" t="n">
        <x:v>0.1464384837225281</x:v>
      </x:c>
      <x:c r="M24" s="40" t="n">
        <x:v>0.1464384837225281</x:v>
      </x:c>
      <x:c r="N24" s="3"/>
      <x:c r="O24" s="36" t="str">
        <x:v>FY2026 balance scaled with sales. Review unusual tax/investment items in a detailed model.</x:v>
      </x:c>
      <x:c r="P24" s="3"/>
      <x:c r="Q24" s="3"/>
    </x:row>
    <x:row r="25" ht="20" customHeight="1">
      <x:c r="C25" s="25" t="str">
        <x:v>Accrued compensation / revenue</x:v>
      </x:c>
      <x:c r="D25" s="82"/>
      <x:c r="E25" s="82"/>
      <x:c r="F25" s="82"/>
      <x:c r="G25" s="82"/>
      <x:c r="H25" s="75" t="n">
        <x:f>'Statements'!H40/'Statements'!H7</x:f>
        <x:v>0.045036900424603496</x:v>
      </x:c>
      <x:c r="I25" s="40" t="n">
        <x:v>0.045036900424603496</x:v>
      </x:c>
      <x:c r="J25" s="40" t="n">
        <x:v>0.045036900424603496</x:v>
      </x:c>
      <x:c r="K25" s="40" t="n">
        <x:v>0.045036900424603496</x:v>
      </x:c>
      <x:c r="L25" s="40" t="n">
        <x:v>0.045036900424603496</x:v>
      </x:c>
      <x:c r="M25" s="40" t="n">
        <x:v>0.045036900424603496</x:v>
      </x:c>
      <x:c r="N25" s="3"/>
      <x:c r="O25" s="36" t="str">
        <x:v>FY2026 ratio held constant.</x:v>
      </x:c>
      <x:c r="P25" s="3"/>
      <x:c r="Q25" s="3"/>
    </x:row>
    <x:row r="26" ht="20" customHeight="1">
      <x:c r="C26" s="25" t="str">
        <x:v>Current deferred revenue / revenue</x:v>
      </x:c>
      <x:c r="D26" s="82"/>
      <x:c r="E26" s="82"/>
      <x:c r="F26" s="82"/>
      <x:c r="G26" s="82"/>
      <x:c r="H26" s="75" t="n">
        <x:f>'Statements'!H42/'Statements'!H7</x:f>
        <x:v>0.2198807252914817</x:v>
      </x:c>
      <x:c r="I26" s="40" t="n">
        <x:v>0.2198807252914817</x:v>
      </x:c>
      <x:c r="J26" s="40" t="n">
        <x:v>0.2198807252914817</x:v>
      </x:c>
      <x:c r="K26" s="40" t="n">
        <x:v>0.2198807252914817</x:v>
      </x:c>
      <x:c r="L26" s="40" t="n">
        <x:v>0.2198807252914817</x:v>
      </x:c>
      <x:c r="M26" s="40" t="n">
        <x:v>0.2198807252914817</x:v>
      </x:c>
      <x:c r="N26" s="3"/>
      <x:c r="O26" s="36" t="str">
        <x:v>FY2026 ratio held constant.</x:v>
      </x:c>
      <x:c r="P26" s="3"/>
      <x:c r="Q26" s="3"/>
    </x:row>
    <x:row r="27" ht="20" customHeight="1">
      <x:c r="C27" s="25" t="str">
        <x:v>Other operating current liabilities / revenue</x:v>
      </x:c>
      <x:c r="D27" s="82"/>
      <x:c r="E27" s="82"/>
      <x:c r="F27" s="82"/>
      <x:c r="G27" s="82"/>
      <x:c r="H27" s="75" t="n">
        <x:f>('Statements'!H43-'Actuals'!H120)/'Statements'!H7</x:f>
        <x:v>0.051395405603319684</x:v>
      </x:c>
      <x:c r="I27" s="40" t="n">
        <x:v>0.051395405603319684</x:v>
      </x:c>
      <x:c r="J27" s="40" t="n">
        <x:v>0.051395405603319684</x:v>
      </x:c>
      <x:c r="K27" s="40" t="n">
        <x:v>0.051395405603319684</x:v>
      </x:c>
      <x:c r="L27" s="40" t="n">
        <x:v>0.051395405603319684</x:v>
      </x:c>
      <x:c r="M27" s="40" t="n">
        <x:v>0.051395405603319684</x:v>
      </x:c>
      <x:c r="N27" s="3"/>
      <x:c r="O27" s="36" t="str">
        <x:v>Excludes both finance-lease and operating-lease current liabilities.</x:v>
      </x:c>
      <x:c r="P27" s="3"/>
      <x:c r="Q27" s="3"/>
    </x:row>
    <x:row r="28" ht="20" customHeight="1">
      <x:c r="C28" s="25" t="str">
        <x:v>Current tax payable / tax expense</x:v>
      </x:c>
      <x:c r="D28" s="82"/>
      <x:c r="E28" s="82"/>
      <x:c r="F28" s="82"/>
      <x:c r="G28" s="82"/>
      <x:c r="H28" s="75" t="n">
        <x:f>'Statements'!H41/'Statements'!H19</x:f>
        <x:v>0.07873232872456114</x:v>
      </x:c>
      <x:c r="I28" s="40" t="n">
        <x:v>0.07873232872456114</x:v>
      </x:c>
      <x:c r="J28" s="40" t="n">
        <x:v>0.07873232872456114</x:v>
      </x:c>
      <x:c r="K28" s="40" t="n">
        <x:v>0.07873232872456114</x:v>
      </x:c>
      <x:c r="L28" s="40" t="n">
        <x:v>0.07873232872456114</x:v>
      </x:c>
      <x:c r="M28" s="40" t="n">
        <x:v>0.07873232872456114</x:v>
      </x:c>
      <x:c r="N28" s="3"/>
      <x:c r="O28" s="36" t="str">
        <x:v>FY2026 ratio held constant. Long-term and deferred taxes are held flat.</x:v>
      </x:c>
      <x:c r="P28" s="3"/>
      <x:c r="Q28" s="3"/>
    </x:row>
    <x:row r="29" ht="20" customHeight="1">
      <x:c r="C29" s="25" t="str">
        <x:v>Long-term deferred revenue / revenue</x:v>
      </x:c>
      <x:c r="D29" s="82"/>
      <x:c r="E29" s="82"/>
      <x:c r="F29" s="82"/>
      <x:c r="G29" s="82"/>
      <x:c r="H29" s="75" t="n">
        <x:f>'Statements'!H49/'Statements'!H7</x:f>
        <x:v>0.00827811077058453</x:v>
      </x:c>
      <x:c r="I29" s="40" t="n">
        <x:v>0.00827811077058453</x:v>
      </x:c>
      <x:c r="J29" s="40" t="n">
        <x:v>0.00827811077058453</x:v>
      </x:c>
      <x:c r="K29" s="40" t="n">
        <x:v>0.00827811077058453</x:v>
      </x:c>
      <x:c r="L29" s="40" t="n">
        <x:v>0.00827811077058453</x:v>
      </x:c>
      <x:c r="M29" s="40" t="n">
        <x:v>0.00827811077058453</x:v>
      </x:c>
      <x:c r="N29" s="3"/>
      <x:c r="O29" s="36" t="str">
        <x:v>FY2026 ratio held constant.</x:v>
      </x:c>
      <x:c r="P29" s="3"/>
      <x:c r="Q29" s="3"/>
    </x:row>
    <x:row r="30" ht="20" customHeight="1">
      <x:c r="C30" s="25" t="str">
        <x:v>Dividends / net income</x:v>
      </x:c>
      <x:c r="D30" s="82"/>
      <x:c r="E30" s="82"/>
      <x:c r="F30" s="82"/>
      <x:c r="G30" s="82"/>
      <x:c r="H30" s="75" t="n">
        <x:f>-'Statements'!H89/'Statements'!H20</x:f>
        <x:v>0.19772110445685576</x:v>
      </x:c>
      <x:c r="I30" s="40" t="n">
        <x:v>0.2</x:v>
      </x:c>
      <x:c r="J30" s="40" t="n">
        <x:v>0.2</x:v>
      </x:c>
      <x:c r="K30" s="40" t="n">
        <x:v>0.2</x:v>
      </x:c>
      <x:c r="L30" s="40" t="n">
        <x:v>0.2</x:v>
      </x:c>
      <x:c r="M30" s="40" t="n">
        <x:v>0.2</x:v>
      </x:c>
      <x:c r="N30" s="3"/>
      <x:c r="O30" s="36" t="str">
        <x:v>Analyst capital-return policy, not management guidance.</x:v>
      </x:c>
      <x:c r="P30" s="3"/>
      <x:c r="Q30" s="3"/>
    </x:row>
    <x:row r="31" ht="20" customHeight="1">
      <x:c r="C31" s="25" t="str">
        <x:v>Share repurchases / net income</x:v>
      </x:c>
      <x:c r="D31" s="82"/>
      <x:c r="E31" s="82"/>
      <x:c r="F31" s="82"/>
      <x:c r="G31" s="82"/>
      <x:c r="H31" s="75" t="n">
        <x:f>-'Statements'!H88/'Statements'!H20</x:f>
        <x:v>0.1665133944926691</x:v>
      </x:c>
      <x:c r="I31" s="40" t="n">
        <x:v>0.15</x:v>
      </x:c>
      <x:c r="J31" s="40" t="n">
        <x:v>0.15</x:v>
      </x:c>
      <x:c r="K31" s="40" t="n">
        <x:v>0.15</x:v>
      </x:c>
      <x:c r="L31" s="40" t="n">
        <x:v>0.15</x:v>
      </x:c>
      <x:c r="M31" s="40" t="n">
        <x:v>0.15</x:v>
      </x:c>
      <x:c r="N31" s="3"/>
      <x:c r="O31" s="36" t="str">
        <x:v>Analyst policy. Repurchase price uses a separate share-price path.</x:v>
      </x:c>
      <x:c r="P31" s="3"/>
      <x:c r="Q31" s="3"/>
    </x:row>
    <x:row r="32" ht="20" customHeight="1">
      <x:c r="C32" s="25" t="str">
        <x:v>Yield on opening cash and short-term investments</x:v>
      </x:c>
      <x:c r="D32" s="82"/>
      <x:c r="E32" s="82"/>
      <x:c r="F32" s="82"/>
      <x:c r="G32" s="82"/>
      <x:c r="H32" s="26"/>
      <x:c r="I32" s="40" t="n">
        <x:v>0.04</x:v>
      </x:c>
      <x:c r="J32" s="40" t="n">
        <x:v>0.04</x:v>
      </x:c>
      <x:c r="K32" s="40" t="n">
        <x:v>0.04</x:v>
      </x:c>
      <x:c r="L32" s="40" t="n">
        <x:v>0.04</x:v>
      </x:c>
      <x:c r="M32" s="40" t="n">
        <x:v>0.04</x:v>
      </x:c>
      <x:c r="N32" s="3"/>
      <x:c r="O32" s="36" t="str">
        <x:v>Analyst: opening balances avoid circular interest calculations.</x:v>
      </x:c>
      <x:c r="P32" s="3"/>
      <x:c r="Q32" s="3"/>
    </x:row>
    <x:row r="33" ht="20" customHeight="1">
      <x:c r="C33" s="25" t="str">
        <x:v>Share price growth for issuance / repurchases</x:v>
      </x:c>
      <x:c r="D33" s="82"/>
      <x:c r="E33" s="82"/>
      <x:c r="F33" s="82"/>
      <x:c r="G33" s="82"/>
      <x:c r="H33" s="26"/>
      <x:c r="I33" s="40" t="n">
        <x:v>0.05</x:v>
      </x:c>
      <x:c r="J33" s="40" t="n">
        <x:v>0.05</x:v>
      </x:c>
      <x:c r="K33" s="40" t="n">
        <x:v>0.05</x:v>
      </x:c>
      <x:c r="L33" s="40" t="n">
        <x:v>0.05</x:v>
      </x:c>
      <x:c r="M33" s="40" t="n">
        <x:v>0.05</x:v>
      </x:c>
      <x:c r="N33" s="3"/>
      <x:c r="O33" s="36" t="str">
        <x:v>Transaction-price assumption only. Does not determine intrinsic value.</x:v>
      </x:c>
      <x:c r="P33" s="3"/>
      <x:c r="Q33" s="3"/>
    </x:row>
    <x:row r="34" ht="20" customHeight="1">
      <x:c r="C34" s="25" t="str">
        <x:v>Legacy corporate debt interest rate</x:v>
      </x:c>
      <x:c r="D34" s="82"/>
      <x:c r="E34" s="82"/>
      <x:c r="F34" s="82"/>
      <x:c r="G34" s="82"/>
      <x:c r="H34" s="26"/>
      <x:c r="I34" s="40" t="n">
        <x:v>0.03</x:v>
      </x:c>
      <x:c r="J34" s="40" t="n">
        <x:v>0.03</x:v>
      </x:c>
      <x:c r="K34" s="40" t="n">
        <x:v>0.03</x:v>
      </x:c>
      <x:c r="L34" s="40" t="n">
        <x:v>0.03</x:v>
      </x:c>
      <x:c r="M34" s="40" t="n">
        <x:v>0.03</x:v>
      </x:c>
      <x:c r="N34" s="3"/>
      <x:c r="O34" s="36" t="str">
        <x:v>Analyst proxy for fixed-rate legacy bonds. Refinance maturities at marginal borrowing cost.</x:v>
      </x:c>
      <x:c r="P34" s="3"/>
      <x:c r="Q34" s="3"/>
    </x:row>
    <x:row r="35" ht="20" customHeight="1">
      <x:c r="C35" s="25" t="str">
        <x:v>Marginal debt credit spread</x:v>
      </x:c>
      <x:c r="D35" s="82"/>
      <x:c r="E35" s="82"/>
      <x:c r="F35" s="82"/>
      <x:c r="G35" s="82"/>
      <x:c r="H35" s="26"/>
      <x:c r="I35" s="40" t="n">
        <x:v>0.0055</x:v>
      </x:c>
      <x:c r="J35" s="40" t="n">
        <x:v>0.0055</x:v>
      </x:c>
      <x:c r="K35" s="40" t="n">
        <x:v>0.0055</x:v>
      </x:c>
      <x:c r="L35" s="40" t="n">
        <x:v>0.0055</x:v>
      </x:c>
      <x:c r="M35" s="40" t="n">
        <x:v>0.0055</x:v>
      </x:c>
      <x:c r="N35" s="3"/>
      <x:c r="O35" s="36" t="str">
        <x:v>Analyst: 55bp above the 10-year Treasury, not an observed bond quote.</x:v>
      </x:c>
      <x:c r="P35" s="3"/>
      <x:c r="Q35" s="3"/>
    </x:row>
    <x:row r="36" ht="20" customHeight="1">
      <x:c r="C36" s="25" t="str">
        <x:v>Finance lease interest rate</x:v>
      </x:c>
      <x:c r="D36" s="82"/>
      <x:c r="E36" s="82"/>
      <x:c r="F36" s="82"/>
      <x:c r="G36" s="82"/>
      <x:c r="H36" s="26"/>
      <x:c r="I36" s="40" t="n">
        <x:v>0.045</x:v>
      </x:c>
      <x:c r="J36" s="40" t="n">
        <x:v>0.045</x:v>
      </x:c>
      <x:c r="K36" s="40" t="n">
        <x:v>0.045</x:v>
      </x:c>
      <x:c r="L36" s="40" t="n">
        <x:v>0.045</x:v>
      </x:c>
      <x:c r="M36" s="40" t="n">
        <x:v>0.045</x:v>
      </x:c>
      <x:c r="N36" s="3"/>
      <x:c r="O36" s="36" t="str">
        <x:v>FY2026 disclosed weighted-average lease discount rate.</x:v>
      </x:c>
      <x:c r="P36" s="3"/>
      <x:c r="Q36" s="3"/>
    </x:row>
    <x:row r="37" ht="20" customHeight="1">
      <x:c r="C37" s="25" t="str">
        <x:v>Operating lease imputed interest rate</x:v>
      </x:c>
      <x:c r="D37" s="82"/>
      <x:c r="E37" s="82"/>
      <x:c r="F37" s="82"/>
      <x:c r="G37" s="82"/>
      <x:c r="H37" s="26"/>
      <x:c r="I37" s="40" t="n">
        <x:v>0.037</x:v>
      </x:c>
      <x:c r="J37" s="40" t="n">
        <x:v>0.037</x:v>
      </x:c>
      <x:c r="K37" s="40" t="n">
        <x:v>0.037</x:v>
      </x:c>
      <x:c r="L37" s="40" t="n">
        <x:v>0.037</x:v>
      </x:c>
      <x:c r="M37" s="40" t="n">
        <x:v>0.037</x:v>
      </x:c>
      <x:c r="N37" s="3"/>
      <x:c r="O37" s="36" t="str">
        <x:v>FY2026 disclosed rate. Part of operating rent, not financing interest in the income statement.</x:v>
      </x:c>
      <x:c r="P37" s="3"/>
      <x:c r="Q37" s="3"/>
    </x:row>
    <x:row r="38" ht="20" customHeight="1">
      <x:c r="C38" s="3" t="str">
        <x:v>New short-lived equipment life, years</x:v>
      </x:c>
      <x:c r="D38" s="95"/>
      <x:c r="E38" s="95"/>
      <x:c r="F38" s="95"/>
      <x:c r="G38" s="95"/>
      <x:c r="H38" s="98"/>
      <x:c r="I38" s="97" t="n">
        <x:v>6</x:v>
      </x:c>
      <x:c r="J38" s="97" t="n">
        <x:v>6</x:v>
      </x:c>
      <x:c r="K38" s="97" t="n">
        <x:v>6</x:v>
      </x:c>
      <x:c r="L38" s="97" t="n">
        <x:v>6</x:v>
      </x:c>
      <x:c r="M38" s="97" t="n">
        <x:v>6</x:v>
      </x:c>
      <x:c r="N38" s="3"/>
      <x:c r="O38" s="36" t="str">
        <x:v>Analyst: six-year straight-line life. Half-year depreciation for additions.</x:v>
      </x:c>
      <x:c r="P38" s="3"/>
      <x:c r="Q38" s="3"/>
    </x:row>
    <x:row r="39" ht="20" customHeight="1">
      <x:c r="C39" s="3" t="str">
        <x:v>New buildings life, years</x:v>
      </x:c>
      <x:c r="D39" s="95"/>
      <x:c r="E39" s="95"/>
      <x:c r="F39" s="95"/>
      <x:c r="G39" s="95"/>
      <x:c r="H39" s="98"/>
      <x:c r="I39" s="97" t="n">
        <x:v>25</x:v>
      </x:c>
      <x:c r="J39" s="97" t="n">
        <x:v>25</x:v>
      </x:c>
      <x:c r="K39" s="97" t="n">
        <x:v>25</x:v>
      </x:c>
      <x:c r="L39" s="97" t="n">
        <x:v>25</x:v>
      </x:c>
      <x:c r="M39" s="97" t="n">
        <x:v>25</x:v>
      </x:c>
      <x:c r="N39" s="3"/>
      <x:c r="O39" s="36" t="str">
        <x:v>FY27 announced building-life extension. Applied to the modeled long-lived share of additions.</x:v>
      </x:c>
      <x:c r="P39" s="3"/>
      <x:c r="Q39" s="3"/>
    </x:row>
    <x:row r="40" ht="20" customHeight="1">
      <x:c r="C40" s="25" t="str">
        <x:v>Short-lived share of PP&amp;E additions</x:v>
      </x:c>
      <x:c r="D40" s="82"/>
      <x:c r="E40" s="82"/>
      <x:c r="F40" s="82"/>
      <x:c r="G40" s="82"/>
      <x:c r="H40" s="26"/>
      <x:c r="I40" s="40" t="n">
        <x:v>0.6666666666666666</x:v>
      </x:c>
      <x:c r="J40" s="40" t="n">
        <x:v>0.6666666666666666</x:v>
      </x:c>
      <x:c r="K40" s="40" t="n">
        <x:v>0.6666666666666666</x:v>
      </x:c>
      <x:c r="L40" s="40" t="n">
        <x:v>0.6666666666666666</x:v>
      </x:c>
      <x:c r="M40" s="40" t="n">
        <x:v>0.6666666666666666</x:v>
      </x:c>
      <x:c r="N40" s="3"/>
      <x:c r="O40" s="36" t="str">
        <x:v>Analyst mix anchored to management commentary that roughly two thirds of recent capex is short-lived.</x:v>
      </x:c>
      <x:c r="P40" s="3"/>
      <x:c r="Q40" s="3"/>
    </x:row>
    <x:row r="41" ht="20" customHeight="1">
      <x:c r="C41" s="3" t="str">
        <x:v>Existing PP&amp;E remaining depreciation life, years</x:v>
      </x:c>
      <x:c r="D41" s="95"/>
      <x:c r="E41" s="95"/>
      <x:c r="F41" s="95"/>
      <x:c r="G41" s="95"/>
      <x:c r="H41" s="98"/>
      <x:c r="I41" s="97" t="n">
        <x:v>8</x:v>
      </x:c>
      <x:c r="J41" s="97" t="n">
        <x:v>8</x:v>
      </x:c>
      <x:c r="K41" s="97" t="n">
        <x:v>8</x:v>
      </x:c>
      <x:c r="L41" s="97" t="n">
        <x:v>8</x:v>
      </x:c>
      <x:c r="M41" s="97" t="n">
        <x:v>8</x:v>
      </x:c>
      <x:c r="N41" s="3"/>
      <x:c r="O41" s="36" t="str">
        <x:v>Analyst aggregate remaining-life estimate, excluding land. Simplifies existing asset vintages.</x:v>
      </x:c>
      <x:c r="P41" s="3"/>
      <x:c r="Q41" s="3"/>
    </x:row>
    <x:row r="42" ht="20" customHeight="1">
      <x:c r="C42" s="3" t="str">
        <x:v>New finance lease principal term, years</x:v>
      </x:c>
      <x:c r="D42" s="95"/>
      <x:c r="E42" s="95"/>
      <x:c r="F42" s="95"/>
      <x:c r="G42" s="95"/>
      <x:c r="H42" s="98"/>
      <x:c r="I42" s="97" t="n">
        <x:v>13</x:v>
      </x:c>
      <x:c r="J42" s="97" t="n">
        <x:v>13</x:v>
      </x:c>
      <x:c r="K42" s="97" t="n">
        <x:v>13</x:v>
      </x:c>
      <x:c r="L42" s="97" t="n">
        <x:v>13</x:v>
      </x:c>
      <x:c r="M42" s="97" t="n">
        <x:v>13</x:v>
      </x:c>
      <x:c r="N42" s="3"/>
      <x:c r="O42" s="36" t="str">
        <x:v>Analyst straight-line principal proxy, anchored to disclosed 13-year remaining lease term.</x:v>
      </x:c>
      <x:c r="P42" s="3"/>
      <x:c r="Q42" s="3"/>
    </x:row>
    <x:row r="43" ht="20" customHeight="1">
      <x:c r="C43" s="3" t="str">
        <x:v>Operating lease asset amortization term, years</x:v>
      </x:c>
      <x:c r="D43" s="95"/>
      <x:c r="E43" s="95"/>
      <x:c r="F43" s="95"/>
      <x:c r="G43" s="95"/>
      <x:c r="H43" s="98"/>
      <x:c r="I43" s="97" t="n">
        <x:v>6</x:v>
      </x:c>
      <x:c r="J43" s="97" t="n">
        <x:v>6</x:v>
      </x:c>
      <x:c r="K43" s="97" t="n">
        <x:v>6</x:v>
      </x:c>
      <x:c r="L43" s="97" t="n">
        <x:v>6</x:v>
      </x:c>
      <x:c r="M43" s="97" t="n">
        <x:v>6</x:v>
      </x:c>
      <x:c r="N43" s="3"/>
      <x:c r="O43" s="36" t="str">
        <x:v>Analyst blended replacement-lease term, anchored to disclosed six-year remaining term.</x:v>
      </x:c>
      <x:c r="P43" s="3"/>
      <x:c r="Q43" s="3"/>
    </x:row>
    <x:row r="44" ht="20" customHeight="1">
      <x:c r="C44" s="3" t="str">
        <x:v>Cash proceeds from stock issuance</x:v>
      </x:c>
      <x:c r="D44" s="42"/>
      <x:c r="E44" s="42"/>
      <x:c r="F44" s="42"/>
      <x:c r="G44" s="42"/>
      <x:c r="H44" s="12"/>
      <x:c r="I44" s="38" t="n">
        <x:v>2109</x:v>
      </x:c>
      <x:c r="J44" s="38" t="n">
        <x:v>2214</x:v>
      </x:c>
      <x:c r="K44" s="38" t="n">
        <x:v>2325</x:v>
      </x:c>
      <x:c r="L44" s="38" t="n">
        <x:v>2441</x:v>
      </x:c>
      <x:c r="M44" s="38" t="n">
        <x:v>2563</x:v>
      </x:c>
      <x:c r="N44" s="3"/>
      <x:c r="O44" s="36" t="str">
        <x:v>Analyst: approximately 5% annual growth from FY2026 proceeds.</x:v>
      </x:c>
      <x:c r="P44" s="3"/>
      <x:c r="Q44" s="3"/>
    </x:row>
    <x:row r="45" ht="20" customHeight="1">
      <x:c r="C45" s="3" t="str">
        <x:v>Incremental diluted share allowance</x:v>
      </x:c>
      <x:c r="D45" s="42"/>
      <x:c r="E45" s="42"/>
      <x:c r="F45" s="42"/>
      <x:c r="G45" s="42"/>
      <x:c r="H45" s="12"/>
      <x:c r="I45" s="38" t="n">
        <x:v>24</x:v>
      </x:c>
      <x:c r="J45" s="38" t="n">
        <x:v>24</x:v>
      </x:c>
      <x:c r="K45" s="38" t="n">
        <x:v>24</x:v>
      </x:c>
      <x:c r="L45" s="38" t="n">
        <x:v>24</x:v>
      </x:c>
      <x:c r="M45" s="38" t="n">
        <x:v>24</x:v>
      </x:c>
      <x:c r="N45" s="3"/>
      <x:c r="O45" s="36" t="str">
        <x:v>FY2026 diluted less basic weighted-average shares. A proxy, not an award-by-award treasury-stock model.</x:v>
      </x:c>
      <x:c r="P45" s="3"/>
      <x:c r="Q45" s="3"/>
    </x:row>
    <x:row r="46" ht="20" customHeight="1">
      <x:c r="C46" s="3"/>
      <x:c r="D46" s="42"/>
      <x:c r="E46" s="42"/>
      <x:c r="F46" s="42"/>
      <x:c r="G46" s="42"/>
      <x:c r="H46" s="12"/>
      <x:c r="I46" s="13"/>
      <x:c r="J46" s="13"/>
      <x:c r="K46" s="13"/>
      <x:c r="L46" s="13"/>
      <x:c r="M46" s="13"/>
      <x:c r="N46" s="3"/>
      <x:c r="O46" s="3"/>
      <x:c r="P46" s="3"/>
      <x:c r="Q46" s="3"/>
    </x:row>
    <x:row r="47" ht="20" customHeight="1">
      <x:c r="C47" s="3"/>
      <x:c r="D47" s="42"/>
      <x:c r="E47" s="42"/>
      <x:c r="F47" s="42"/>
      <x:c r="G47" s="42"/>
      <x:c r="H47" s="12"/>
      <x:c r="I47" s="13"/>
      <x:c r="J47" s="13"/>
      <x:c r="K47" s="13"/>
      <x:c r="L47" s="13"/>
      <x:c r="M47" s="13"/>
      <x:c r="N47" s="3"/>
      <x:c r="O47" s="3"/>
      <x:c r="P47" s="3"/>
      <x:c r="Q47" s="3"/>
    </x:row>
    <x:row r="48" ht="20" customHeight="1">
      <x:c r="C48" s="3" t="str">
        <x:v>Blue numbers in pale yellow are editable assumptions. Green formulas link to another worksheet.</x:v>
      </x:c>
      <x:c r="D48" s="42"/>
      <x:c r="E48" s="42"/>
      <x:c r="F48" s="42"/>
      <x:c r="G48" s="42"/>
      <x:c r="H48" s="12"/>
      <x:c r="I48" s="13"/>
      <x:c r="J48" s="13"/>
      <x:c r="K48" s="13"/>
      <x:c r="L48" s="13"/>
      <x:c r="M48" s="13"/>
      <x:c r="N48" s="3"/>
      <x:c r="O48" s="3"/>
      <x:c r="P48" s="3"/>
      <x:c r="Q48" s="3"/>
    </x:row>
    <x:row r="49" ht="20" customHeight="1">
      <x:c r="C49" s="3"/>
      <x:c r="D49" s="42"/>
      <x:c r="E49" s="42"/>
      <x:c r="F49" s="42"/>
      <x:c r="G49" s="42"/>
      <x:c r="H49" s="12"/>
      <x:c r="I49" s="13"/>
      <x:c r="J49" s="13"/>
      <x:c r="K49" s="13"/>
      <x:c r="L49" s="13"/>
      <x:c r="M49" s="13"/>
      <x:c r="N49" s="3"/>
      <x:c r="O49" s="3"/>
      <x:c r="P49" s="3"/>
      <x:c r="Q49" s="3"/>
    </x:row>
    <x:row r="50" ht="20" customHeight="1">
      <x:c r="C50" s="3"/>
      <x:c r="D50" s="42"/>
      <x:c r="E50" s="42"/>
      <x:c r="F50" s="42"/>
      <x:c r="G50" s="42"/>
      <x:c r="H50" s="12"/>
      <x:c r="I50" s="13"/>
      <x:c r="J50" s="13"/>
      <x:c r="K50" s="13"/>
      <x:c r="L50" s="13"/>
      <x:c r="M50" s="13"/>
      <x:c r="N50" s="3"/>
      <x:c r="O50" s="3"/>
      <x:c r="P50" s="3"/>
      <x:c r="Q50" s="3"/>
    </x:row>
    <x:row r="51">
      <x:c r="D51" s="83"/>
      <x:c r="E51" s="83"/>
      <x:c r="F51" s="83"/>
      <x:c r="G51" s="83"/>
    </x:row>
    <x:row r="52">
      <x:c r="D52" s="83"/>
      <x:c r="E52" s="83"/>
      <x:c r="F52" s="83"/>
      <x:c r="G52" s="83"/>
    </x:row>
    <x:row r="53">
      <x:c r="D53" s="83"/>
      <x:c r="E53" s="83"/>
      <x:c r="F53" s="83"/>
      <x:c r="G53" s="83"/>
    </x:row>
    <x:row r="54">
      <x:c r="D54" s="83"/>
      <x:c r="E54" s="83"/>
      <x:c r="F54" s="83"/>
      <x:c r="G54" s="83"/>
    </x:row>
    <x:row r="55">
      <x:c r="D55" s="83"/>
      <x:c r="E55" s="83"/>
      <x:c r="F55" s="83"/>
      <x:c r="G55" s="83"/>
    </x:row>
    <x:row r="56">
      <x:c r="D56" s="83"/>
      <x:c r="E56" s="83"/>
      <x:c r="F56" s="83"/>
      <x:c r="G56" s="83"/>
    </x:row>
    <x:row r="57">
      <x:c r="D57" s="83"/>
      <x:c r="E57" s="83"/>
      <x:c r="F57" s="83"/>
      <x:c r="G57" s="83"/>
    </x:row>
    <x:row r="58">
      <x:c r="D58" s="83"/>
      <x:c r="E58" s="83"/>
      <x:c r="F58" s="83"/>
      <x:c r="G58" s="83"/>
    </x:row>
    <x:row r="59">
      <x:c r="D59" s="83"/>
      <x:c r="E59" s="83"/>
      <x:c r="F59" s="83"/>
      <x:c r="G59" s="83"/>
    </x:row>
    <x:row r="60">
      <x:c r="D60" s="83"/>
      <x:c r="E60" s="83"/>
      <x:c r="F60" s="83"/>
      <x:c r="G60" s="83"/>
    </x:row>
    <x:row r="61">
      <x:c r="D61" s="83"/>
      <x:c r="E61" s="83"/>
      <x:c r="F61" s="83"/>
      <x:c r="G61" s="83"/>
    </x:row>
    <x:row r="62">
      <x:c r="D62" s="83"/>
      <x:c r="E62" s="83"/>
      <x:c r="F62" s="83"/>
      <x:c r="G62" s="83"/>
    </x:row>
    <x:row r="63">
      <x:c r="D63" s="83"/>
      <x:c r="E63" s="83"/>
      <x:c r="F63" s="83"/>
      <x:c r="G63" s="83"/>
    </x:row>
    <x:row r="64">
      <x:c r="D64" s="83"/>
      <x:c r="E64" s="83"/>
      <x:c r="F64" s="83"/>
      <x:c r="G64" s="83"/>
    </x:row>
    <x:row r="65">
      <x:c r="D65" s="83"/>
      <x:c r="E65" s="83"/>
      <x:c r="F65" s="83"/>
      <x:c r="G65" s="83"/>
    </x:row>
    <x:row r="66">
      <x:c r="D66" s="83"/>
      <x:c r="E66" s="83"/>
      <x:c r="F66" s="83"/>
      <x:c r="G66" s="83"/>
    </x:row>
    <x:row r="67">
      <x:c r="D67" s="83"/>
      <x:c r="E67" s="83"/>
      <x:c r="F67" s="83"/>
      <x:c r="G67" s="83"/>
    </x:row>
    <x:row r="68">
      <x:c r="D68" s="83"/>
      <x:c r="E68" s="83"/>
      <x:c r="F68" s="83"/>
      <x:c r="G68" s="83"/>
    </x:row>
    <x:row r="69">
      <x:c r="D69" s="83"/>
      <x:c r="E69" s="83"/>
      <x:c r="F69" s="83"/>
      <x:c r="G69" s="83"/>
    </x:row>
    <x:row r="70">
      <x:c r="D70" s="83"/>
      <x:c r="E70" s="83"/>
      <x:c r="F70" s="83"/>
      <x:c r="G70" s="83"/>
    </x:row>
    <x:row r="71">
      <x:c r="D71" s="83"/>
      <x:c r="E71" s="83"/>
      <x:c r="F71" s="83"/>
      <x:c r="G71" s="83"/>
    </x:row>
    <x:row r="72">
      <x:c r="D72" s="83"/>
      <x:c r="E72" s="83"/>
      <x:c r="F72" s="83"/>
      <x:c r="G72" s="83"/>
    </x:row>
    <x:row r="73">
      <x:c r="D73" s="83"/>
      <x:c r="E73" s="83"/>
      <x:c r="F73" s="83"/>
      <x:c r="G73" s="83"/>
    </x:row>
    <x:row r="74">
      <x:c r="D74" s="83"/>
      <x:c r="E74" s="83"/>
      <x:c r="F74" s="83"/>
      <x:c r="G74" s="83"/>
    </x:row>
    <x:row r="75">
      <x:c r="D75" s="83"/>
      <x:c r="E75" s="83"/>
      <x:c r="F75" s="83"/>
      <x:c r="G75" s="83"/>
    </x:row>
    <x:row r="76">
      <x:c r="D76" s="83"/>
      <x:c r="E76" s="83"/>
      <x:c r="F76" s="83"/>
      <x:c r="G76" s="83"/>
    </x:row>
    <x:row r="77">
      <x:c r="D77" s="83"/>
      <x:c r="E77" s="83"/>
      <x:c r="F77" s="83"/>
      <x:c r="G77" s="83"/>
    </x:row>
    <x:row r="78">
      <x:c r="D78" s="83"/>
      <x:c r="E78" s="83"/>
      <x:c r="F78" s="83"/>
      <x:c r="G78" s="83"/>
    </x:row>
    <x:row r="79">
      <x:c r="D79" s="83"/>
      <x:c r="E79" s="83"/>
      <x:c r="F79" s="83"/>
      <x:c r="G79" s="83"/>
    </x:row>
    <x:row r="80">
      <x:c r="D80" s="83"/>
      <x:c r="E80" s="83"/>
      <x:c r="F80" s="83"/>
      <x:c r="G80" s="83"/>
    </x:row>
    <x:row r="81">
      <x:c r="D81" s="83"/>
      <x:c r="E81" s="83"/>
      <x:c r="F81" s="83"/>
      <x:c r="G81" s="83"/>
    </x:row>
    <x:row r="82">
      <x:c r="D82" s="83"/>
      <x:c r="E82" s="83"/>
      <x:c r="F82" s="83"/>
      <x:c r="G82" s="83"/>
    </x:row>
    <x:row r="83">
      <x:c r="D83" s="83"/>
      <x:c r="E83" s="83"/>
      <x:c r="F83" s="83"/>
      <x:c r="G83" s="83"/>
    </x:row>
    <x:row r="84">
      <x:c r="D84" s="83"/>
      <x:c r="E84" s="83"/>
      <x:c r="F84" s="83"/>
      <x:c r="G84" s="83"/>
    </x:row>
    <x:row r="85">
      <x:c r="D85" s="83"/>
      <x:c r="E85" s="83"/>
      <x:c r="F85" s="83"/>
      <x:c r="G85" s="83"/>
    </x:row>
    <x:row r="86">
      <x:c r="D86" s="83"/>
      <x:c r="E86" s="83"/>
      <x:c r="F86" s="83"/>
      <x:c r="G86" s="83"/>
    </x:row>
    <x:row r="87">
      <x:c r="D87" s="83"/>
      <x:c r="E87" s="83"/>
      <x:c r="F87" s="83"/>
      <x:c r="G87" s="83"/>
    </x:row>
    <x:row r="88">
      <x:c r="D88" s="83"/>
      <x:c r="E88" s="83"/>
      <x:c r="F88" s="83"/>
      <x:c r="G88" s="83"/>
    </x:row>
    <x:row r="89">
      <x:c r="D89" s="83"/>
      <x:c r="E89" s="83"/>
      <x:c r="F89" s="83"/>
      <x:c r="G89" s="83"/>
    </x:row>
    <x:row r="90">
      <x:c r="D90" s="83"/>
      <x:c r="E90" s="83"/>
      <x:c r="F90" s="83"/>
      <x:c r="G90" s="83"/>
    </x:row>
  </x:sheetData>
  <x:dataValidations count="5">
    <x:dataValidation type="whole" operator="between" sqref="I38:M38">
      <x:formula1>1</x:formula1>
      <x:formula2>50</x:formula2>
    </x:dataValidation>
    <x:dataValidation type="whole" operator="between" sqref="I39:M39">
      <x:formula1>1</x:formula1>
      <x:formula2>50</x:formula2>
    </x:dataValidation>
    <x:dataValidation type="whole" operator="between" sqref="I41:M41">
      <x:formula1>1</x:formula1>
      <x:formula2>50</x:formula2>
    </x:dataValidation>
    <x:dataValidation type="whole" operator="between" sqref="I42:M42">
      <x:formula1>1</x:formula1>
      <x:formula2>50</x:formula2>
    </x:dataValidation>
    <x:dataValidation type="whole" operator="between" sqref="I43:M43">
      <x:formula1>1</x:formula1>
      <x:formula2>50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0" hidden="0" customWidth="1"/>
    <x:col min="16" max="16" width="16" hidden="0" customWidth="1"/>
    <x:col min="17" max="17" width="16" hidden="0" customWidth="1"/>
  </x:cols>
  <x:sheetData>
    <x:row r="1" ht="20" customHeight="1"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C2" s="7" t="str">
        <x:v>Linked financial statements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3"/>
      <x:c r="O2" s="3"/>
      <x:c r="P2" s="3"/>
      <x:c r="Q2" s="3"/>
    </x:row>
    <x:row r="3" ht="20" customHeight="1">
      <x:c r="C3" s="8" t="str">
        <x:v>USD millions except shares (millions), per-share values and rates</x:v>
      </x:c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3"/>
      <x:c r="O3" s="3"/>
      <x:c r="P3" s="3"/>
      <x:c r="Q3" s="3"/>
    </x:row>
    <x:row r="4" ht="24" customHeight="1">
      <x:c r="C4" s="11"/>
      <x:c r="D4" s="11" t="str">
        <x:v>FY:22 A</x:v>
      </x:c>
      <x:c r="E4" s="11" t="str">
        <x:v>FY:23 A</x:v>
      </x:c>
      <x:c r="F4" s="11" t="str">
        <x:v>FY:24 A</x:v>
      </x:c>
      <x:c r="G4" s="11" t="str">
        <x:v>FY:25 A</x:v>
      </x:c>
      <x:c r="H4" s="11" t="str">
        <x:v>FY:26 A</x:v>
      </x:c>
      <x:c r="I4" s="11" t="str">
        <x:v>FY:27 F</x:v>
      </x:c>
      <x:c r="J4" s="11" t="str">
        <x:v>FY:28 F</x:v>
      </x:c>
      <x:c r="K4" s="11" t="str">
        <x:v>FY:29 F</x:v>
      </x:c>
      <x:c r="L4" s="11" t="str">
        <x:v>FY:30 F</x:v>
      </x:c>
      <x:c r="M4" s="11" t="str">
        <x:v>FY:31 F</x:v>
      </x:c>
      <x:c r="N4" s="3"/>
      <x:c r="O4" s="3"/>
      <x:c r="P4" s="3"/>
      <x:c r="Q4" s="3"/>
    </x:row>
    <x:row r="5" ht="20" customHeight="1">
      <x:c r="C5" s="3"/>
      <x:c r="D5" s="12"/>
      <x:c r="E5" s="12"/>
      <x:c r="F5" s="12"/>
      <x:c r="G5" s="12"/>
      <x:c r="H5" s="12"/>
      <x:c r="I5" s="13"/>
      <x:c r="J5" s="13"/>
      <x:c r="K5" s="13"/>
      <x:c r="L5" s="13"/>
      <x:c r="M5" s="13"/>
      <x:c r="N5" s="3"/>
      <x:c r="O5" s="3"/>
      <x:c r="P5" s="3"/>
      <x:c r="Q5" s="3"/>
    </x:row>
    <x:row r="6" ht="23" customHeight="1">
      <x:c r="C6" s="10" t="str">
        <x:v>INCOME STATEMENT</x:v>
      </x:c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3"/>
      <x:c r="O6" s="3"/>
      <x:c r="P6" s="3"/>
      <x:c r="Q6" s="3"/>
    </x:row>
    <x:row r="7" ht="20" customHeight="1">
      <x:c r="C7" s="20" t="str">
        <x:v>Revenue</x:v>
      </x:c>
      <x:c r="D7" s="103" t="n">
        <x:f>'Actuals'!D7</x:f>
        <x:v>198270</x:v>
      </x:c>
      <x:c r="E7" s="103" t="n">
        <x:f>'Actuals'!E7</x:f>
        <x:v>211915</x:v>
      </x:c>
      <x:c r="F7" s="103" t="n">
        <x:f>'Actuals'!F7</x:f>
        <x:v>245122</x:v>
      </x:c>
      <x:c r="G7" s="103" t="n">
        <x:f>'Actuals'!G7</x:f>
        <x:v>281724</x:v>
      </x:c>
      <x:c r="H7" s="103" t="n">
        <x:f>'Actuals'!H7</x:f>
        <x:v>331839</x:v>
      </x:c>
      <x:c r="I7" s="104" t="n">
        <x:f>'Revenue'!I27</x:f>
        <x:v>399507.87</x:v>
      </x:c>
      <x:c r="J7" s="104" t="n">
        <x:f>'Revenue'!J27</x:f>
        <x:v>475173.2686</x:v>
      </x:c>
      <x:c r="K7" s="104" t="n">
        <x:f>'Revenue'!K27</x:f>
        <x:v>555514.250594</x:v>
      </x:c>
      <x:c r="L7" s="104" t="n">
        <x:f>'Revenue'!L27</x:f>
        <x:v>636124.83740776</x:v>
      </x:c>
      <x:c r="M7" s="104" t="n">
        <x:f>'Revenue'!M27</x:f>
        <x:v>711652.2654269927</x:v>
      </x:c>
      <x:c r="N7" s="3"/>
      <x:c r="O7" s="3"/>
      <x:c r="P7" s="3"/>
      <x:c r="Q7" s="3"/>
    </x:row>
    <x:row r="8" ht="20" customHeight="1">
      <x:c r="C8" s="3" t="str">
        <x:v>Cost of revenue</x:v>
      </x:c>
      <x:c r="D8" s="76" t="n">
        <x:f>'Actuals'!D8</x:f>
        <x:v>62650</x:v>
      </x:c>
      <x:c r="E8" s="76" t="n">
        <x:f>'Actuals'!E8</x:f>
        <x:v>65863</x:v>
      </x:c>
      <x:c r="F8" s="76" t="n">
        <x:f>'Actuals'!F8</x:f>
        <x:v>74114</x:v>
      </x:c>
      <x:c r="G8" s="76" t="n">
        <x:f>'Actuals'!G8</x:f>
        <x:v>87831</x:v>
      </x:c>
      <x:c r="H8" s="76" t="n">
        <x:f>'Actuals'!H8</x:f>
        <x:v>106374</x:v>
      </x:c>
      <x:c r="I8" s="13" t="n">
        <x:f>'Revenue'!I28</x:f>
        <x:v>135117.7592113833</x:v>
      </x:c>
      <x:c r="J8" s="13" t="n">
        <x:f>'Revenue'!J28</x:f>
        <x:v>167889.11990512977</x:v>
      </x:c>
      <x:c r="K8" s="13" t="n">
        <x:f>'Revenue'!K28</x:f>
        <x:v>200940.05395130275</x:v>
      </x:c>
      <x:c r="L8" s="13" t="n">
        <x:f>'Revenue'!L28</x:f>
        <x:v>232134.6893664163</x:v>
      </x:c>
      <x:c r="M8" s="13" t="n">
        <x:f>'Revenue'!M28</x:f>
        <x:v>264908.0221581279</x:v>
      </x:c>
      <x:c r="N8" s="3"/>
      <x:c r="O8" s="3"/>
      <x:c r="P8" s="3"/>
      <x:c r="Q8" s="3"/>
    </x:row>
    <x:row r="9" ht="20" customHeight="1">
      <x:c r="C9" s="20" t="str">
        <x:v>Gross profit</x:v>
      </x:c>
      <x:c r="D9" s="77" t="n">
        <x:f>'Actuals'!D9</x:f>
        <x:v>135620</x:v>
      </x:c>
      <x:c r="E9" s="77" t="n">
        <x:f>'Actuals'!E9</x:f>
        <x:v>146052</x:v>
      </x:c>
      <x:c r="F9" s="77" t="n">
        <x:f>'Actuals'!F9</x:f>
        <x:v>171008</x:v>
      </x:c>
      <x:c r="G9" s="77" t="n">
        <x:f>'Actuals'!G9</x:f>
        <x:v>193893</x:v>
      </x:c>
      <x:c r="H9" s="77" t="n">
        <x:f>'Actuals'!H9</x:f>
        <x:v>225465</x:v>
      </x:c>
      <x:c r="I9" s="70" t="n">
        <x:f>I7-I8</x:f>
        <x:v>264390.1107886167</x:v>
      </x:c>
      <x:c r="J9" s="70" t="n">
        <x:f>J7-J8</x:f>
        <x:v>307284.14869487024</x:v>
      </x:c>
      <x:c r="K9" s="70" t="n">
        <x:f>K7-K8</x:f>
        <x:v>354574.1966426972</x:v>
      </x:c>
      <x:c r="L9" s="70" t="n">
        <x:f>L7-L8</x:f>
        <x:v>403990.14804134367</x:v>
      </x:c>
      <x:c r="M9" s="70" t="n">
        <x:f>M7-M8</x:f>
        <x:v>446744.24326886475</x:v>
      </x:c>
      <x:c r="N9" s="3"/>
      <x:c r="O9" s="3"/>
      <x:c r="P9" s="3"/>
      <x:c r="Q9" s="3"/>
    </x:row>
    <x:row r="10" ht="20" customHeight="1">
      <x:c r="C10" s="3" t="str">
        <x:v>Research and development</x:v>
      </x:c>
      <x:c r="D10" s="76" t="n">
        <x:f>'Actuals'!D10</x:f>
        <x:v>24512</x:v>
      </x:c>
      <x:c r="E10" s="76" t="n">
        <x:f>'Actuals'!E10</x:f>
        <x:v>27195</x:v>
      </x:c>
      <x:c r="F10" s="76" t="n">
        <x:f>'Actuals'!F10</x:f>
        <x:v>29510</x:v>
      </x:c>
      <x:c r="G10" s="76" t="n">
        <x:f>'Actuals'!G10</x:f>
        <x:v>32488</x:v>
      </x:c>
      <x:c r="H10" s="76" t="n">
        <x:f>'Actuals'!H10</x:f>
        <x:v>35562</x:v>
      </x:c>
      <x:c r="I10" s="13" t="n">
        <x:f>'Revenue'!I30*'Assumptions'!I12</x:f>
        <x:v>40650.50463969357</x:v>
      </x:c>
      <x:c r="J10" s="13" t="n">
        <x:f>'Revenue'!J30*'Assumptions'!J12</x:f>
        <x:v>46471.26643404661</x:v>
      </x:c>
      <x:c r="K10" s="13" t="n">
        <x:f>'Revenue'!K30*'Assumptions'!K12</x:f>
        <x:v>52358.813322948154</x:v>
      </x:c>
      <x:c r="L10" s="13" t="n">
        <x:f>'Revenue'!L30*'Assumptions'!L12</x:f>
        <x:v>57869.037371004524</x:v>
      </x:c>
      <x:c r="M10" s="13" t="n">
        <x:f>'Revenue'!M30*'Assumptions'!M12</x:f>
        <x:v>62519.29374772559</x:v>
      </x:c>
      <x:c r="N10" s="3"/>
      <x:c r="O10" s="3"/>
      <x:c r="P10" s="3"/>
      <x:c r="Q10" s="3"/>
    </x:row>
    <x:row r="11" ht="20" customHeight="1">
      <x:c r="C11" s="3" t="str">
        <x:v>Sales and marketing</x:v>
      </x:c>
      <x:c r="D11" s="76" t="n">
        <x:f>'Actuals'!D11</x:f>
        <x:v>21825</x:v>
      </x:c>
      <x:c r="E11" s="76" t="n">
        <x:f>'Actuals'!E11</x:f>
        <x:v>22759</x:v>
      </x:c>
      <x:c r="F11" s="76" t="n">
        <x:f>'Actuals'!F11</x:f>
        <x:v>24456</x:v>
      </x:c>
      <x:c r="G11" s="76" t="n">
        <x:f>'Actuals'!G11</x:f>
        <x:v>25654</x:v>
      </x:c>
      <x:c r="H11" s="76" t="n">
        <x:f>'Actuals'!H11</x:f>
        <x:v>26710</x:v>
      </x:c>
      <x:c r="I11" s="13" t="n">
        <x:f>'Revenue'!I30*'Assumptions'!I13</x:f>
        <x:v>30531.887377712595</x:v>
      </x:c>
      <x:c r="J11" s="13" t="n">
        <x:f>'Revenue'!J30*'Assumptions'!J13</x:f>
        <x:v>34903.760374933496</x:v>
      </x:c>
      <x:c r="K11" s="13" t="n">
        <x:f>'Revenue'!K30*'Assumptions'!K13</x:f>
        <x:v>39325.79449569612</x:v>
      </x:c>
      <x:c r="L11" s="13" t="n">
        <x:f>'Revenue'!L30*'Assumptions'!L13</x:f>
        <x:v>43464.427989976124</x:v>
      </x:c>
      <x:c r="M11" s="13" t="n">
        <x:f>'Revenue'!M30*'Assumptions'!M13</x:f>
        <x:v>46957.15471575701</x:v>
      </x:c>
      <x:c r="N11" s="3"/>
      <x:c r="O11" s="3"/>
      <x:c r="P11" s="3"/>
      <x:c r="Q11" s="3"/>
    </x:row>
    <x:row r="12" ht="20" customHeight="1">
      <x:c r="C12" s="3" t="str">
        <x:v>General and administrative</x:v>
      </x:c>
      <x:c r="D12" s="76" t="n">
        <x:f>'Actuals'!D12</x:f>
        <x:v>5900</x:v>
      </x:c>
      <x:c r="E12" s="76" t="n">
        <x:f>'Actuals'!E12</x:f>
        <x:v>7575</x:v>
      </x:c>
      <x:c r="F12" s="76" t="n">
        <x:f>'Actuals'!F12</x:f>
        <x:v>7609</x:v>
      </x:c>
      <x:c r="G12" s="76" t="n">
        <x:f>'Actuals'!G12</x:f>
        <x:v>7223</x:v>
      </x:c>
      <x:c r="H12" s="76" t="n">
        <x:f>'Actuals'!H12</x:f>
        <x:v>7956</x:v>
      </x:c>
      <x:c r="I12" s="13" t="n">
        <x:f>'Revenue'!I30*'Assumptions'!I14</x:f>
        <x:v>9094.410182593838</x:v>
      </x:c>
      <x:c r="J12" s="13" t="n">
        <x:f>'Revenue'!J30*'Assumptions'!J14</x:f>
        <x:v>10396.642364019875</x:v>
      </x:c>
      <x:c r="K12" s="13" t="n">
        <x:f>'Revenue'!K30*'Assumptions'!K14</x:f>
        <x:v>11713.815837055721</x:v>
      </x:c>
      <x:c r="L12" s="13" t="n">
        <x:f>'Revenue'!L30*'Assumptions'!L14</x:f>
        <x:v>12946.573908208537</x:v>
      </x:c>
      <x:c r="M12" s="13" t="n">
        <x:f>'Revenue'!M30*'Assumptions'!M14</x:f>
        <x:v>13986.938334652292</x:v>
      </x:c>
      <x:c r="N12" s="3"/>
      <x:c r="O12" s="3"/>
      <x:c r="P12" s="3"/>
      <x:c r="Q12" s="3"/>
    </x:row>
    <x:row r="13" ht="20" customHeight="1">
      <x:c r="C13" s="20" t="str">
        <x:v>Operating income</x:v>
      </x:c>
      <x:c r="D13" s="103" t="n">
        <x:f>'Actuals'!D13</x:f>
        <x:v>83383</x:v>
      </x:c>
      <x:c r="E13" s="103" t="n">
        <x:f>'Actuals'!E13</x:f>
        <x:v>88523</x:v>
      </x:c>
      <x:c r="F13" s="103" t="n">
        <x:f>'Actuals'!F13</x:f>
        <x:v>109433</x:v>
      </x:c>
      <x:c r="G13" s="103" t="n">
        <x:f>'Actuals'!G13</x:f>
        <x:v>128528</x:v>
      </x:c>
      <x:c r="H13" s="103" t="n">
        <x:f>'Actuals'!H13</x:f>
        <x:v>155237</x:v>
      </x:c>
      <x:c r="I13" s="105" t="n">
        <x:f>I9-SUM(I10:I12)</x:f>
        <x:v>184113.3085886167</x:v>
      </x:c>
      <x:c r="J13" s="105" t="n">
        <x:f>J9-SUM(J10:J12)</x:f>
        <x:v>215512.47952187026</x:v>
      </x:c>
      <x:c r="K13" s="105" t="n">
        <x:f>K9-SUM(K10:K12)</x:f>
        <x:v>251175.7729869972</x:v>
      </x:c>
      <x:c r="L13" s="105" t="n">
        <x:f>L9-SUM(L10:L12)</x:f>
        <x:v>289710.1087721545</x:v>
      </x:c>
      <x:c r="M13" s="105" t="n">
        <x:f>M9-SUM(M10:M12)</x:f>
        <x:v>323280.85647072986</x:v>
      </x:c>
      <x:c r="N13" s="3"/>
      <x:c r="O13" s="3"/>
      <x:c r="P13" s="3"/>
      <x:c r="Q13" s="3"/>
    </x:row>
    <x:row r="14" ht="20" customHeight="1">
      <x:c r="C14" s="25" t="str">
        <x:v>Operating margin</x:v>
      </x:c>
      <x:c r="D14" s="75" t="n">
        <x:f>'Actuals'!D14</x:f>
        <x:v>0.4205527815604983</x:v>
      </x:c>
      <x:c r="E14" s="75" t="n">
        <x:f>'Actuals'!E14</x:f>
        <x:v>0.417728806361041</x:v>
      </x:c>
      <x:c r="F14" s="75" t="n">
        <x:f>'Actuals'!F14</x:f>
        <x:v>0.44644299573273716</x:v>
      </x:c>
      <x:c r="G14" s="75" t="n">
        <x:f>'Actuals'!G14</x:f>
        <x:v>0.4562195624085985</x:v>
      </x:c>
      <x:c r="H14" s="75" t="n">
        <x:f>'Actuals'!H14</x:f>
        <x:v>0.4678081840892722</x:v>
      </x:c>
      <x:c r="I14" s="61" t="n">
        <x:f>I13/I7</x:f>
        <x:v>0.4608502670763825</x:v>
      </x:c>
      <x:c r="J14" s="61" t="n">
        <x:f>J13/J7</x:f>
        <x:v>0.4535450408581133</x:v>
      </x:c>
      <x:c r="K14" s="61" t="n">
        <x:f>K13/K7</x:f>
        <x:v>0.45215000824626933</x:v>
      </x:c>
      <x:c r="L14" s="61" t="n">
        <x:f>L13/L7</x:f>
        <x:v>0.4554296448362832</x:v>
      </x:c>
      <x:c r="M14" s="61" t="n">
        <x:f>M13/M7</x:f>
        <x:v>0.4542680072503679</x:v>
      </x:c>
      <x:c r="N14" s="3"/>
      <x:c r="O14" s="3"/>
      <x:c r="P14" s="3"/>
      <x:c r="Q14" s="3"/>
    </x:row>
    <x:row r="15" ht="20" customHeight="1">
      <x:c r="C15" s="3" t="str">
        <x:v>Interest and dividend income</x:v>
      </x:c>
      <x:c r="D15" s="76" t="n">
        <x:f>'Actuals'!D15</x:f>
        <x:v>2094</x:v>
      </x:c>
      <x:c r="E15" s="76" t="n">
        <x:f>'Actuals'!E15</x:f>
        <x:v>2994</x:v>
      </x:c>
      <x:c r="F15" s="76" t="n">
        <x:f>'Actuals'!F15</x:f>
        <x:v>3157</x:v>
      </x:c>
      <x:c r="G15" s="76" t="n">
        <x:f>'Actuals'!G15</x:f>
        <x:v>2647</x:v>
      </x:c>
      <x:c r="H15" s="76" t="n">
        <x:f>'Actuals'!H15</x:f>
        <x:v>3301</x:v>
      </x:c>
      <x:c r="I15" s="13" t="n">
        <x:f>'Funding'!I15</x:f>
        <x:v>3073.7200000000003</x:v>
      </x:c>
      <x:c r="J15" s="13" t="n">
        <x:f>'Funding'!J15</x:f>
        <x:v>2746.318544426387</x:v>
      </x:c>
      <x:c r="K15" s="13" t="n">
        <x:f>'Funding'!K15</x:f>
        <x:v>3681.085730020964</x:v>
      </x:c>
      <x:c r="L15" s="13" t="n">
        <x:f>'Funding'!L15</x:f>
        <x:v>6288.2549234304415</x:v>
      </x:c>
      <x:c r="M15" s="13" t="n">
        <x:f>'Funding'!M15</x:f>
        <x:v>10695.320225687572</x:v>
      </x:c>
      <x:c r="N15" s="3"/>
      <x:c r="O15" s="3"/>
      <x:c r="P15" s="3"/>
      <x:c r="Q15" s="3"/>
    </x:row>
    <x:row r="16" ht="20" customHeight="1">
      <x:c r="C16" s="3" t="str">
        <x:v>Interest expense</x:v>
      </x:c>
      <x:c r="D16" s="76" t="n">
        <x:f>'Actuals'!D16</x:f>
        <x:v>2063</x:v>
      </x:c>
      <x:c r="E16" s="76" t="n">
        <x:f>'Actuals'!E16</x:f>
        <x:v>1968</x:v>
      </x:c>
      <x:c r="F16" s="76" t="n">
        <x:f>'Actuals'!F16</x:f>
        <x:v>2935</x:v>
      </x:c>
      <x:c r="G16" s="76" t="n">
        <x:f>'Actuals'!G16</x:f>
        <x:v>2385</x:v>
      </x:c>
      <x:c r="H16" s="76" t="n">
        <x:f>'Actuals'!H16</x:f>
        <x:v>3051</x:v>
      </x:c>
      <x:c r="I16" s="13" t="n">
        <x:f>'Funding'!I14</x:f>
        <x:v>4669.215464423077</x:v>
      </x:c>
      <x:c r="J16" s="13" t="n">
        <x:f>'Funding'!J14</x:f>
        <x:v>5279.437223444711</x:v>
      </x:c>
      <x:c r="K16" s="13" t="n">
        <x:f>'Funding'!K14</x:f>
        <x:v>5739.476964167452</x:v>
      </x:c>
      <x:c r="L16" s="13" t="n">
        <x:f>'Funding'!L14</x:f>
        <x:v>6145.231588426335</x:v>
      </x:c>
      <x:c r="M16" s="13" t="n">
        <x:f>'Funding'!M14</x:f>
        <x:v>6419.047520898599</x:v>
      </x:c>
      <x:c r="N16" s="3"/>
      <x:c r="O16" s="36" t="str">
        <x:v>Forecast interest includes corporate debt and finance leases. Historical row is the reported other-income note.</x:v>
      </x:c>
      <x:c r="P16" s="3"/>
      <x:c r="Q16" s="3"/>
    </x:row>
    <x:row r="17" ht="20" customHeight="1">
      <x:c r="C17" s="3" t="str">
        <x:v>Other nonoperating gains / (losses)</x:v>
      </x:c>
      <x:c r="D17" s="76" t="n">
        <x:f>'Actuals'!D17</x:f>
        <x:v>302</x:v>
      </x:c>
      <x:c r="E17" s="76" t="n">
        <x:f>'Actuals'!E17</x:f>
        <x:v>-238</x:v>
      </x:c>
      <x:c r="F17" s="76" t="n">
        <x:f>'Actuals'!F17</x:f>
        <x:v>-1868</x:v>
      </x:c>
      <x:c r="G17" s="76" t="n">
        <x:f>'Actuals'!G17</x:f>
        <x:v>-5163</x:v>
      </x:c>
      <x:c r="H17" s="76" t="n">
        <x:f>'Actuals'!H17</x:f>
        <x:v>10447</x:v>
      </x:c>
      <x:c r="I17" s="5" t="n">
        <x:f>0</x:f>
        <x:v>0</x:v>
      </x:c>
      <x:c r="J17" s="5" t="n">
        <x:f>0</x:f>
        <x:v>0</x:v>
      </x:c>
      <x:c r="K17" s="5" t="n">
        <x:f>0</x:f>
        <x:v>0</x:v>
      </x:c>
      <x:c r="L17" s="5" t="n">
        <x:f>0</x:f>
        <x:v>0</x:v>
      </x:c>
      <x:c r="M17" s="5" t="n">
        <x:f>0</x:f>
        <x:v>0</x:v>
      </x:c>
      <x:c r="N17" s="3"/>
      <x:c r="O17" s="36" t="str">
        <x:v>Forecast excludes future investment gains, FX remeasurements and discrete other income.</x:v>
      </x:c>
      <x:c r="P17" s="3"/>
      <x:c r="Q17" s="3"/>
    </x:row>
    <x:row r="18" ht="20" customHeight="1">
      <x:c r="C18" s="20" t="str">
        <x:v>Income before tax</x:v>
      </x:c>
      <x:c r="D18" s="77" t="n">
        <x:f>'Actuals'!D18</x:f>
        <x:v>83716</x:v>
      </x:c>
      <x:c r="E18" s="77" t="n">
        <x:f>'Actuals'!E18</x:f>
        <x:v>89311</x:v>
      </x:c>
      <x:c r="F18" s="77" t="n">
        <x:f>'Actuals'!F18</x:f>
        <x:v>107787</x:v>
      </x:c>
      <x:c r="G18" s="77" t="n">
        <x:f>'Actuals'!G18</x:f>
        <x:v>123627</x:v>
      </x:c>
      <x:c r="H18" s="77" t="n">
        <x:f>'Actuals'!H18</x:f>
        <x:v>165934</x:v>
      </x:c>
      <x:c r="I18" s="70" t="n">
        <x:f>I13+I15-I16+I17</x:f>
        <x:v>182517.8131241936</x:v>
      </x:c>
      <x:c r="J18" s="70" t="n">
        <x:f>J13+J15-J16+J17</x:f>
        <x:v>212979.36084285192</x:v>
      </x:c>
      <x:c r="K18" s="70" t="n">
        <x:f>K13+K15-K16+K17</x:f>
        <x:v>249117.38175285072</x:v>
      </x:c>
      <x:c r="L18" s="70" t="n">
        <x:f>L13+L15-L16+L17</x:f>
        <x:v>289853.1321071586</x:v>
      </x:c>
      <x:c r="M18" s="70" t="n">
        <x:f>M13+M15-M16+M17</x:f>
        <x:v>327557.1291755189</x:v>
      </x:c>
      <x:c r="N18" s="3"/>
      <x:c r="O18" s="3"/>
      <x:c r="P18" s="3"/>
      <x:c r="Q18" s="3"/>
    </x:row>
    <x:row r="19" ht="20" customHeight="1">
      <x:c r="C19" s="3" t="str">
        <x:v>Income tax expense</x:v>
      </x:c>
      <x:c r="D19" s="76" t="n">
        <x:f>'Actuals'!D19</x:f>
        <x:v>10978</x:v>
      </x:c>
      <x:c r="E19" s="76" t="n">
        <x:f>'Actuals'!E19</x:f>
        <x:v>16950</x:v>
      </x:c>
      <x:c r="F19" s="76" t="n">
        <x:f>'Actuals'!F19</x:f>
        <x:v>19651</x:v>
      </x:c>
      <x:c r="G19" s="76" t="n">
        <x:f>'Actuals'!G19</x:f>
        <x:v>21795</x:v>
      </x:c>
      <x:c r="H19" s="76" t="n">
        <x:f>'Actuals'!H19</x:f>
        <x:v>32185</x:v>
      </x:c>
      <x:c r="I19" s="13" t="n">
        <x:f>I18*'Assumptions'!I15</x:f>
        <x:v>36503.56262483872</x:v>
      </x:c>
      <x:c r="J19" s="13" t="n">
        <x:f>J18*'Assumptions'!J15</x:f>
        <x:v>42595.872168570386</x:v>
      </x:c>
      <x:c r="K19" s="13" t="n">
        <x:f>K18*'Assumptions'!K15</x:f>
        <x:v>49823.47635057015</x:v>
      </x:c>
      <x:c r="L19" s="13" t="n">
        <x:f>L18*'Assumptions'!L15</x:f>
        <x:v>57970.62642143172</x:v>
      </x:c>
      <x:c r="M19" s="13" t="n">
        <x:f>M18*'Assumptions'!M15</x:f>
        <x:v>65511.42583510378</x:v>
      </x:c>
      <x:c r="N19" s="3"/>
      <x:c r="O19" s="3"/>
      <x:c r="P19" s="3"/>
      <x:c r="Q19" s="3"/>
    </x:row>
    <x:row r="20" ht="20" customHeight="1">
      <x:c r="C20" s="20" t="str">
        <x:v>Net income</x:v>
      </x:c>
      <x:c r="D20" s="103" t="n">
        <x:f>'Actuals'!D20</x:f>
        <x:v>72738</x:v>
      </x:c>
      <x:c r="E20" s="103" t="n">
        <x:f>'Actuals'!E20</x:f>
        <x:v>72361</x:v>
      </x:c>
      <x:c r="F20" s="103" t="n">
        <x:f>'Actuals'!F20</x:f>
        <x:v>88136</x:v>
      </x:c>
      <x:c r="G20" s="103" t="n">
        <x:f>'Actuals'!G20</x:f>
        <x:v>101832</x:v>
      </x:c>
      <x:c r="H20" s="103" t="n">
        <x:f>'Actuals'!H20</x:f>
        <x:v>133749</x:v>
      </x:c>
      <x:c r="I20" s="105" t="n">
        <x:f>I18-I19</x:f>
        <x:v>146014.25049935488</x:v>
      </x:c>
      <x:c r="J20" s="105" t="n">
        <x:f>J18-J19</x:f>
        <x:v>170383.48867428154</x:v>
      </x:c>
      <x:c r="K20" s="105" t="n">
        <x:f>K18-K19</x:f>
        <x:v>199293.90540228056</x:v>
      </x:c>
      <x:c r="L20" s="105" t="n">
        <x:f>L18-L19</x:f>
        <x:v>231882.50568572688</x:v>
      </x:c>
      <x:c r="M20" s="105" t="n">
        <x:f>M18-M19</x:f>
        <x:v>262045.7033404151</x:v>
      </x:c>
      <x:c r="N20" s="3"/>
      <x:c r="O20" s="3"/>
      <x:c r="P20" s="3"/>
      <x:c r="Q20" s="3"/>
    </x:row>
    <x:row r="21" ht="20" customHeight="1">
      <x:c r="C21" s="3" t="str">
        <x:v>Weighted-average diluted shares</x:v>
      </x:c>
      <x:c r="D21" s="76" t="n">
        <x:f>'Actuals'!D21</x:f>
        <x:v>7540</x:v>
      </x:c>
      <x:c r="E21" s="76" t="n">
        <x:f>'Actuals'!E21</x:f>
        <x:v>7472</x:v>
      </x:c>
      <x:c r="F21" s="76" t="n">
        <x:f>'Actuals'!F21</x:f>
        <x:v>7469</x:v>
      </x:c>
      <x:c r="G21" s="76" t="n">
        <x:f>'Actuals'!G21</x:f>
        <x:v>7465</x:v>
      </x:c>
      <x:c r="H21" s="76" t="n">
        <x:f>'Actuals'!H21</x:f>
        <x:v>7453</x:v>
      </x:c>
      <x:c r="I21" s="13" t="n">
        <x:f>'Funding'!I28</x:f>
        <x:v>7446.498886354599</x:v>
      </x:c>
      <x:c r="J21" s="13" t="n">
        <x:f>'Funding'!J28</x:f>
        <x:v>7436.662312447987</x:v>
      </x:c>
      <x:c r="K21" s="13" t="n">
        <x:f>'Funding'!K28</x:f>
        <x:v>7424.70669307394</x:v>
      </x:c>
      <x:c r="L21" s="13" t="n">
        <x:f>'Funding'!L28</x:f>
        <x:v>7409.774370221252</x:v>
      </x:c>
      <x:c r="M21" s="13" t="n">
        <x:f>'Funding'!M28</x:f>
        <x:v>7391.66437504413</x:v>
      </x:c>
      <x:c r="N21" s="3"/>
      <x:c r="O21" s="3"/>
      <x:c r="P21" s="3"/>
      <x:c r="Q21" s="3"/>
    </x:row>
    <x:row r="22" ht="20" customHeight="1">
      <x:c r="C22" s="3" t="str">
        <x:v>Diluted EPS</x:v>
      </x:c>
      <x:c r="D22" s="78" t="n">
        <x:f>'Actuals'!D22</x:f>
        <x:v>9.65</x:v>
      </x:c>
      <x:c r="E22" s="78" t="n">
        <x:f>'Actuals'!E22</x:f>
        <x:v>9.68</x:v>
      </x:c>
      <x:c r="F22" s="78" t="n">
        <x:f>'Actuals'!F22</x:f>
        <x:v>11.8</x:v>
      </x:c>
      <x:c r="G22" s="78" t="n">
        <x:f>'Actuals'!G22</x:f>
        <x:v>13.64</x:v>
      </x:c>
      <x:c r="H22" s="78" t="n">
        <x:f>'Actuals'!H22</x:f>
        <x:v>17.95</x:v>
      </x:c>
      <x:c r="I22" s="62" t="n">
        <x:f>I20/I21</x:f>
        <x:v>19.608443206366413</x:v>
      </x:c>
      <x:c r="J22" s="62" t="n">
        <x:f>J20/J21</x:f>
        <x:v>22.911284863517626</x:v>
      </x:c>
      <x:c r="K22" s="62" t="n">
        <x:f>K20/K21</x:f>
        <x:v>26.841990349354784</x:v>
      </x:c>
      <x:c r="L22" s="62" t="n">
        <x:f>L20/L21</x:f>
        <x:v>31.294138539174302</x:v>
      </x:c>
      <x:c r="M22" s="62" t="n">
        <x:f>M20/M21</x:f>
        <x:v>35.451515388758516</x:v>
      </x:c>
      <x:c r="N22" s="3"/>
      <x:c r="O22" s="3"/>
      <x:c r="P22" s="3"/>
      <x:c r="Q22" s="3"/>
    </x:row>
    <x:row r="23" ht="20" customHeight="1">
      <x:c r="C23" s="3"/>
      <x:c r="D23" s="12"/>
      <x:c r="E23" s="12"/>
      <x:c r="F23" s="12"/>
      <x:c r="G23" s="12"/>
      <x:c r="H23" s="12"/>
      <x:c r="I23" s="13"/>
      <x:c r="J23" s="13"/>
      <x:c r="K23" s="13"/>
      <x:c r="L23" s="13"/>
      <x:c r="M23" s="13"/>
      <x:c r="N23" s="3"/>
      <x:c r="O23" s="3"/>
      <x:c r="P23" s="3"/>
      <x:c r="Q23" s="3"/>
    </x:row>
    <x:row r="24" ht="23" customHeight="1">
      <x:c r="C24" s="10" t="str">
        <x:v>BALANCE SHEET</x:v>
      </x:c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3"/>
      <x:c r="O24" s="3"/>
      <x:c r="P24" s="3"/>
      <x:c r="Q24" s="3"/>
    </x:row>
    <x:row r="25" ht="20" customHeight="1">
      <x:c r="C25" s="3" t="str">
        <x:v>Cash and cash equivalents</x:v>
      </x:c>
      <x:c r="D25" s="106" t="n">
        <x:f>'Actuals'!D25</x:f>
        <x:v>13931</x:v>
      </x:c>
      <x:c r="E25" s="106" t="n">
        <x:f>'Actuals'!E25</x:f>
        <x:v>34704</x:v>
      </x:c>
      <x:c r="F25" s="106" t="n">
        <x:f>'Actuals'!F25</x:f>
        <x:v>18315</x:v>
      </x:c>
      <x:c r="G25" s="106" t="n">
        <x:f>'Actuals'!G25</x:f>
        <x:v>30242</x:v>
      </x:c>
      <x:c r="H25" s="106" t="n">
        <x:f>'Actuals'!H25</x:f>
        <x:v>20935</x:v>
      </x:c>
      <x:c r="I25" s="107" t="n">
        <x:f>I97</x:f>
        <x:v>12749.963610659674</x:v>
      </x:c>
      <x:c r="J25" s="107" t="n">
        <x:f>J97</x:f>
        <x:v>36119.1432505241</x:v>
      </x:c>
      <x:c r="K25" s="107" t="n">
        <x:f>K97</x:f>
        <x:v>101298.37308576104</x:v>
      </x:c>
      <x:c r="L25" s="107" t="n">
        <x:f>L97</x:f>
        <x:v>211475.0056421893</x:v>
      </x:c>
      <x:c r="M25" s="107" t="n">
        <x:f>M97</x:f>
        <x:v>366187.18863228074</x:v>
      </x:c>
      <x:c r="N25" s="3"/>
      <x:c r="O25" s="3"/>
      <x:c r="P25" s="3"/>
      <x:c r="Q25" s="3"/>
    </x:row>
    <x:row r="26" ht="20" customHeight="1">
      <x:c r="C26" s="3" t="str">
        <x:v>Short-term investments</x:v>
      </x:c>
      <x:c r="D26" s="76" t="n">
        <x:f>'Actuals'!D26</x:f>
        <x:v>90826</x:v>
      </x:c>
      <x:c r="E26" s="76" t="n">
        <x:f>'Actuals'!E26</x:f>
        <x:v>76558</x:v>
      </x:c>
      <x:c r="F26" s="76" t="n">
        <x:f>'Actuals'!F26</x:f>
        <x:v>57228</x:v>
      </x:c>
      <x:c r="G26" s="76" t="n">
        <x:f>'Actuals'!G26</x:f>
        <x:v>64323</x:v>
      </x:c>
      <x:c r="H26" s="76" t="n">
        <x:f>'Actuals'!H26</x:f>
        <x:v>55908</x:v>
      </x:c>
      <x:c r="I26" s="13" t="n">
        <x:f>'Actuals'!$H$26</x:f>
        <x:v>55908</x:v>
      </x:c>
      <x:c r="J26" s="13" t="n">
        <x:f>'Actuals'!$H$26</x:f>
        <x:v>55908</x:v>
      </x:c>
      <x:c r="K26" s="13" t="n">
        <x:f>'Actuals'!$H$26</x:f>
        <x:v>55908</x:v>
      </x:c>
      <x:c r="L26" s="13" t="n">
        <x:f>'Actuals'!$H$26</x:f>
        <x:v>55908</x:v>
      </x:c>
      <x:c r="M26" s="13" t="n">
        <x:f>'Actuals'!$H$26</x:f>
        <x:v>55908</x:v>
      </x:c>
      <x:c r="N26" s="3"/>
      <x:c r="O26" s="3"/>
      <x:c r="P26" s="3"/>
      <x:c r="Q26" s="3"/>
    </x:row>
    <x:row r="27" ht="20" customHeight="1">
      <x:c r="C27" s="3" t="str">
        <x:v>Accounts receivable</x:v>
      </x:c>
      <x:c r="D27" s="76" t="n">
        <x:f>'Actuals'!D27</x:f>
        <x:v>44261</x:v>
      </x:c>
      <x:c r="E27" s="76" t="n">
        <x:f>'Actuals'!E27</x:f>
        <x:v>48688</x:v>
      </x:c>
      <x:c r="F27" s="76" t="n">
        <x:f>'Actuals'!F27</x:f>
        <x:v>56924</x:v>
      </x:c>
      <x:c r="G27" s="76" t="n">
        <x:f>'Actuals'!G27</x:f>
        <x:v>69905</x:v>
      </x:c>
      <x:c r="H27" s="76" t="n">
        <x:f>'Actuals'!H27</x:f>
        <x:v>80876</x:v>
      </x:c>
      <x:c r="I27" s="13" t="n">
        <x:f>I7*'Assumptions'!I21/365</x:f>
        <x:v>97368.29756032294</x:v>
      </x:c>
      <x:c r="J27" s="13" t="n">
        <x:f>J7*'Assumptions'!J21/365</x:f>
        <x:v>115809.51386453552</x:v>
      </x:c>
      <x:c r="K27" s="13" t="n">
        <x:f>K7*'Assumptions'!K21/365</x:f>
        <x:v>135390.2661562997</x:v>
      </x:c>
      <x:c r="L27" s="13" t="n">
        <x:f>L7*'Assumptions'!L21/365</x:f>
        <x:v>155036.7266963497</x:v>
      </x:c>
      <x:c r="M27" s="13" t="n">
        <x:f>M7*'Assumptions'!M21/365</x:f>
        <x:v>173444.31672791162</x:v>
      </x:c>
      <x:c r="N27" s="3"/>
      <x:c r="O27" s="3"/>
      <x:c r="P27" s="3"/>
      <x:c r="Q27" s="3"/>
    </x:row>
    <x:row r="28" ht="20" customHeight="1">
      <x:c r="C28" s="3" t="str">
        <x:v>Inventories</x:v>
      </x:c>
      <x:c r="D28" s="76" t="n">
        <x:f>'Actuals'!D28</x:f>
        <x:v>3742</x:v>
      </x:c>
      <x:c r="E28" s="76" t="n">
        <x:f>'Actuals'!E28</x:f>
        <x:v>2500</x:v>
      </x:c>
      <x:c r="F28" s="76" t="n">
        <x:f>'Actuals'!F28</x:f>
        <x:v>1246</x:v>
      </x:c>
      <x:c r="G28" s="76" t="n">
        <x:f>'Actuals'!G28</x:f>
        <x:v>938</x:v>
      </x:c>
      <x:c r="H28" s="76" t="n">
        <x:f>'Actuals'!H28</x:f>
        <x:v>1397</x:v>
      </x:c>
      <x:c r="I28" s="13" t="n">
        <x:f>I8*'Assumptions'!I22/365</x:f>
        <x:v>1774.489157296919</x:v>
      </x:c>
      <x:c r="J28" s="13" t="n">
        <x:f>J8*'Assumptions'!J22/365</x:f>
        <x:v>2204.872436003782</x:v>
      </x:c>
      <x:c r="K28" s="13" t="n">
        <x:f>K8*'Assumptions'!K22/365</x:f>
        <x:v>2638.927325944027</x:v>
      </x:c>
      <x:c r="L28" s="13" t="n">
        <x:f>L8*'Assumptions'!L22/365</x:f>
        <x:v>3048.603615967093</x:v>
      </x:c>
      <x:c r="M28" s="13" t="n">
        <x:f>M8*'Assumptions'!M22/365</x:f>
        <x:v>3479.0127940559223</x:v>
      </x:c>
      <x:c r="N28" s="3"/>
      <x:c r="O28" s="3"/>
      <x:c r="P28" s="3"/>
      <x:c r="Q28" s="3"/>
    </x:row>
    <x:row r="29" ht="20" customHeight="1">
      <x:c r="C29" s="3" t="str">
        <x:v>Other current assets</x:v>
      </x:c>
      <x:c r="D29" s="76" t="n">
        <x:f>'Actuals'!D29</x:f>
        <x:v>16924</x:v>
      </x:c>
      <x:c r="E29" s="76" t="n">
        <x:f>'Actuals'!E29</x:f>
        <x:v>21807</x:v>
      </x:c>
      <x:c r="F29" s="76" t="n">
        <x:f>'Actuals'!F29</x:f>
        <x:v>26021</x:v>
      </x:c>
      <x:c r="G29" s="76" t="n">
        <x:f>'Actuals'!G29</x:f>
        <x:v>25723</x:v>
      </x:c>
      <x:c r="H29" s="76" t="n">
        <x:f>'Actuals'!H29</x:f>
        <x:v>48594</x:v>
      </x:c>
      <x:c r="I29" s="13" t="n">
        <x:f>I7*'Assumptions'!I24</x:f>
        <x:v>58503.32671801687</x:v>
      </x:c>
      <x:c r="J29" s="13" t="n">
        <x:f>J7*'Assumptions'!J24</x:f>
        <x:v>69583.65295926157</x:v>
      </x:c>
      <x:c r="K29" s="13" t="n">
        <x:f>K7*'Assumptions'!K24</x:f>
        <x:v>81348.66454324186</x:v>
      </x:c>
      <x:c r="L29" s="13" t="n">
        <x:f>L7*'Assumptions'!L24</x:f>
        <x:v>93153.15664823209</x:v>
      </x:c>
      <x:c r="M29" s="13" t="n">
        <x:f>M7*'Assumptions'!M24</x:f>
        <x:v>104213.27868683092</x:v>
      </x:c>
      <x:c r="N29" s="3"/>
      <x:c r="O29" s="3"/>
      <x:c r="P29" s="3"/>
      <x:c r="Q29" s="3"/>
    </x:row>
    <x:row r="30" ht="20" customHeight="1">
      <x:c r="C30" s="20" t="str">
        <x:v>Total current assets</x:v>
      </x:c>
      <x:c r="D30" s="103" t="n">
        <x:f>'Actuals'!D30</x:f>
        <x:v>169684</x:v>
      </x:c>
      <x:c r="E30" s="103" t="n">
        <x:f>'Actuals'!E30</x:f>
        <x:v>184257</x:v>
      </x:c>
      <x:c r="F30" s="103" t="n">
        <x:f>'Actuals'!F30</x:f>
        <x:v>159734</x:v>
      </x:c>
      <x:c r="G30" s="103" t="n">
        <x:f>'Actuals'!G30</x:f>
        <x:v>191131</x:v>
      </x:c>
      <x:c r="H30" s="103" t="n">
        <x:f>'Actuals'!H30</x:f>
        <x:v>207710</x:v>
      </x:c>
      <x:c r="I30" s="105" t="n">
        <x:f>SUM(I25:I29)</x:f>
        <x:v>226304.0770462964</x:v>
      </x:c>
      <x:c r="J30" s="105" t="n">
        <x:f>SUM(J25:J29)</x:f>
        <x:v>279625.182510325</x:v>
      </x:c>
      <x:c r="K30" s="105" t="n">
        <x:f>SUM(K25:K29)</x:f>
        <x:v>376584.23111124657</x:v>
      </x:c>
      <x:c r="L30" s="105" t="n">
        <x:f>SUM(L25:L29)</x:f>
        <x:v>518621.49260273814</x:v>
      </x:c>
      <x:c r="M30" s="105" t="n">
        <x:f>SUM(M25:M29)</x:f>
        <x:v>703231.7968410793</x:v>
      </x:c>
      <x:c r="N30" s="3"/>
      <x:c r="O30" s="3"/>
      <x:c r="P30" s="3"/>
      <x:c r="Q30" s="3"/>
    </x:row>
    <x:row r="31" ht="20" customHeight="1">
      <x:c r="C31" s="3" t="str">
        <x:v>Property and equipment, net</x:v>
      </x:c>
      <x:c r="D31" s="76" t="n">
        <x:f>'Actuals'!D31</x:f>
        <x:v>74398</x:v>
      </x:c>
      <x:c r="E31" s="76" t="n">
        <x:f>'Actuals'!E31</x:f>
        <x:v>95641</x:v>
      </x:c>
      <x:c r="F31" s="76" t="n">
        <x:f>'Actuals'!F31</x:f>
        <x:v>135591</x:v>
      </x:c>
      <x:c r="G31" s="76" t="n">
        <x:f>'Actuals'!G31</x:f>
        <x:v>204966</x:v>
      </x:c>
      <x:c r="H31" s="76" t="n">
        <x:f>'Actuals'!H31</x:f>
        <x:v>313076</x:v>
      </x:c>
      <x:c r="I31" s="13" t="n">
        <x:f>'Capital'!I23</x:f>
        <x:v>454030.4671114667</x:v>
      </x:c>
      <x:c r="J31" s="13" t="n">
        <x:f>'Capital'!J23</x:f>
        <x:v>571168.7512395617</x:v>
      </x:c>
      <x:c r="K31" s="13" t="n">
        <x:f>'Capital'!K23</x:f>
        <x:v>665245.8778673233</x:v>
      </x:c>
      <x:c r="L31" s="13" t="n">
        <x:f>'Capital'!L23</x:f>
        <x:v>736526.8258738571</x:v>
      </x:c>
      <x:c r="M31" s="13" t="n">
        <x:f>'Capital'!M23</x:f>
        <x:v>783711.8425176806</x:v>
      </x:c>
      <x:c r="N31" s="3"/>
      <x:c r="O31" s="3"/>
      <x:c r="P31" s="3"/>
      <x:c r="Q31" s="3"/>
    </x:row>
    <x:row r="32" ht="20" customHeight="1">
      <x:c r="C32" s="3" t="str">
        <x:v>Operating lease right-of-use assets</x:v>
      </x:c>
      <x:c r="D32" s="76" t="n">
        <x:f>'Actuals'!D32</x:f>
        <x:v>13148</x:v>
      </x:c>
      <x:c r="E32" s="76" t="n">
        <x:f>'Actuals'!E32</x:f>
        <x:v>14346</x:v>
      </x:c>
      <x:c r="F32" s="76" t="n">
        <x:f>'Actuals'!F32</x:f>
        <x:v>18961</x:v>
      </x:c>
      <x:c r="G32" s="76" t="n">
        <x:f>'Actuals'!G32</x:f>
        <x:v>24823</x:v>
      </x:c>
      <x:c r="H32" s="76" t="n">
        <x:f>'Actuals'!H32</x:f>
        <x:v>24177</x:v>
      </x:c>
      <x:c r="I32" s="13" t="n">
        <x:f>'Capital'!I50</x:f>
        <x:v>31133.966425000002</x:v>
      </x:c>
      <x:c r="J32" s="13" t="n">
        <x:f>'Capital'!J50</x:f>
        <x:v>39012.23690733333</x:v>
      </x:c>
      <x:c r="K32" s="13" t="n">
        <x:f>'Capital'!K50</x:f>
        <x:v>47786.839314112774</x:v>
      </x:c>
      <x:c r="L32" s="13" t="n">
        <x:f>'Capital'!L50</x:f>
        <x:v>54400.226952355144</x:v>
      </x:c>
      <x:c r="M32" s="13" t="n">
        <x:f>'Capital'!M50</x:f>
        <x:v>61642.22020966454</x:v>
      </x:c>
      <x:c r="N32" s="3"/>
      <x:c r="O32" s="36" t="str">
        <x:v>Operating leases are operating costs. Finance lease assets are in PP&amp;E and finance liabilities are debt for the DCF.</x:v>
      </x:c>
      <x:c r="P32" s="3"/>
      <x:c r="Q32" s="3"/>
    </x:row>
    <x:row r="33" ht="20" customHeight="1">
      <x:c r="C33" s="3" t="str">
        <x:v>Equity and other investments</x:v>
      </x:c>
      <x:c r="D33" s="76" t="n">
        <x:f>'Actuals'!D33</x:f>
        <x:v>6891</x:v>
      </x:c>
      <x:c r="E33" s="76" t="n">
        <x:f>'Actuals'!E33</x:f>
        <x:v>9879</x:v>
      </x:c>
      <x:c r="F33" s="76" t="n">
        <x:f>'Actuals'!F33</x:f>
        <x:v>14600</x:v>
      </x:c>
      <x:c r="G33" s="76" t="n">
        <x:f>'Actuals'!G33</x:f>
        <x:v>15405</x:v>
      </x:c>
      <x:c r="H33" s="76" t="n">
        <x:f>'Actuals'!H33</x:f>
        <x:v>36348</x:v>
      </x:c>
      <x:c r="I33" s="13" t="n">
        <x:f>'Actuals'!$H$33</x:f>
        <x:v>36348</x:v>
      </x:c>
      <x:c r="J33" s="13" t="n">
        <x:f>'Actuals'!$H$33</x:f>
        <x:v>36348</x:v>
      </x:c>
      <x:c r="K33" s="13" t="n">
        <x:f>'Actuals'!$H$33</x:f>
        <x:v>36348</x:v>
      </x:c>
      <x:c r="L33" s="13" t="n">
        <x:f>'Actuals'!$H$33</x:f>
        <x:v>36348</x:v>
      </x:c>
      <x:c r="M33" s="13" t="n">
        <x:f>'Actuals'!$H$33</x:f>
        <x:v>36348</x:v>
      </x:c>
      <x:c r="N33" s="3"/>
      <x:c r="O33" s="3"/>
      <x:c r="P33" s="3"/>
      <x:c r="Q33" s="3"/>
    </x:row>
    <x:row r="34" ht="20" customHeight="1">
      <x:c r="C34" s="3" t="str">
        <x:v>Goodwill</x:v>
      </x:c>
      <x:c r="D34" s="76" t="n">
        <x:f>'Actuals'!D34</x:f>
        <x:v>67524</x:v>
      </x:c>
      <x:c r="E34" s="76" t="n">
        <x:f>'Actuals'!E34</x:f>
        <x:v>67886</x:v>
      </x:c>
      <x:c r="F34" s="76" t="n">
        <x:f>'Actuals'!F34</x:f>
        <x:v>119220</x:v>
      </x:c>
      <x:c r="G34" s="76" t="n">
        <x:f>'Actuals'!G34</x:f>
        <x:v>119509</x:v>
      </x:c>
      <x:c r="H34" s="76" t="n">
        <x:f>'Actuals'!H34</x:f>
        <x:v>119651</x:v>
      </x:c>
      <x:c r="I34" s="13" t="n">
        <x:f>'Actuals'!$H$34</x:f>
        <x:v>119651</x:v>
      </x:c>
      <x:c r="J34" s="13" t="n">
        <x:f>'Actuals'!$H$34</x:f>
        <x:v>119651</x:v>
      </x:c>
      <x:c r="K34" s="13" t="n">
        <x:f>'Actuals'!$H$34</x:f>
        <x:v>119651</x:v>
      </x:c>
      <x:c r="L34" s="13" t="n">
        <x:f>'Actuals'!$H$34</x:f>
        <x:v>119651</x:v>
      </x:c>
      <x:c r="M34" s="13" t="n">
        <x:f>'Actuals'!$H$34</x:f>
        <x:v>119651</x:v>
      </x:c>
      <x:c r="N34" s="3"/>
      <x:c r="O34" s="3"/>
      <x:c r="P34" s="3"/>
      <x:c r="Q34" s="3"/>
    </x:row>
    <x:row r="35" ht="20" customHeight="1">
      <x:c r="C35" s="3" t="str">
        <x:v>Intangible assets, net</x:v>
      </x:c>
      <x:c r="D35" s="76" t="n">
        <x:f>'Actuals'!D35</x:f>
        <x:v>11298</x:v>
      </x:c>
      <x:c r="E35" s="76" t="n">
        <x:f>'Actuals'!E35</x:f>
        <x:v>9366</x:v>
      </x:c>
      <x:c r="F35" s="76" t="n">
        <x:f>'Actuals'!F35</x:f>
        <x:v>27597</x:v>
      </x:c>
      <x:c r="G35" s="76" t="n">
        <x:f>'Actuals'!G35</x:f>
        <x:v>22604</x:v>
      </x:c>
      <x:c r="H35" s="76" t="n">
        <x:f>'Actuals'!H35</x:f>
        <x:v>18609</x:v>
      </x:c>
      <x:c r="I35" s="13" t="n">
        <x:f>'Capital'!I27</x:f>
        <x:v>15512</x:v>
      </x:c>
      <x:c r="J35" s="13" t="n">
        <x:f>'Capital'!J27</x:f>
        <x:v>13371</x:v>
      </x:c>
      <x:c r="K35" s="13" t="n">
        <x:f>'Capital'!K27</x:f>
        <x:v>11427</x:v>
      </x:c>
      <x:c r="L35" s="13" t="n">
        <x:f>'Capital'!L27</x:f>
        <x:v>9950</x:v>
      </x:c>
      <x:c r="M35" s="13" t="n">
        <x:f>'Capital'!M27</x:f>
        <x:v>8822</x:v>
      </x:c>
      <x:c r="N35" s="3"/>
      <x:c r="O35" s="3"/>
      <x:c r="P35" s="3"/>
      <x:c r="Q35" s="3"/>
    </x:row>
    <x:row r="36" ht="20" customHeight="1">
      <x:c r="C36" s="3" t="str">
        <x:v>Other long-term assets</x:v>
      </x:c>
      <x:c r="D36" s="76" t="n">
        <x:f>'Actuals'!D36</x:f>
        <x:v>21897</x:v>
      </x:c>
      <x:c r="E36" s="76" t="n">
        <x:f>'Actuals'!E36</x:f>
        <x:v>30601</x:v>
      </x:c>
      <x:c r="F36" s="76" t="n">
        <x:f>'Actuals'!F36</x:f>
        <x:v>36460</x:v>
      </x:c>
      <x:c r="G36" s="76" t="n">
        <x:f>'Actuals'!G36</x:f>
        <x:v>40565</x:v>
      </x:c>
      <x:c r="H36" s="76" t="n">
        <x:f>'Actuals'!H36</x:f>
        <x:v>38805</x:v>
      </x:c>
      <x:c r="I36" s="13" t="n">
        <x:f>'Actuals'!$H$36</x:f>
        <x:v>38805</x:v>
      </x:c>
      <x:c r="J36" s="13" t="n">
        <x:f>'Actuals'!$H$36</x:f>
        <x:v>38805</x:v>
      </x:c>
      <x:c r="K36" s="13" t="n">
        <x:f>'Actuals'!$H$36</x:f>
        <x:v>38805</x:v>
      </x:c>
      <x:c r="L36" s="13" t="n">
        <x:f>'Actuals'!$H$36</x:f>
        <x:v>38805</x:v>
      </x:c>
      <x:c r="M36" s="13" t="n">
        <x:f>'Actuals'!$H$36</x:f>
        <x:v>38805</x:v>
      </x:c>
      <x:c r="N36" s="3"/>
      <x:c r="O36" s="3"/>
      <x:c r="P36" s="3"/>
      <x:c r="Q36" s="3"/>
    </x:row>
    <x:row r="37" ht="20" customHeight="1">
      <x:c r="C37" s="20" t="str">
        <x:v>Total assets</x:v>
      </x:c>
      <x:c r="D37" s="103" t="n">
        <x:f>'Actuals'!D37</x:f>
        <x:v>364840</x:v>
      </x:c>
      <x:c r="E37" s="103" t="n">
        <x:f>'Actuals'!E37</x:f>
        <x:v>411976</x:v>
      </x:c>
      <x:c r="F37" s="103" t="n">
        <x:f>'Actuals'!F37</x:f>
        <x:v>512163</x:v>
      </x:c>
      <x:c r="G37" s="103" t="n">
        <x:f>'Actuals'!G37</x:f>
        <x:v>619003</x:v>
      </x:c>
      <x:c r="H37" s="103" t="n">
        <x:f>'Actuals'!H37</x:f>
        <x:v>758376</x:v>
      </x:c>
      <x:c r="I37" s="105" t="n">
        <x:f>SUM(I30:I36)</x:f>
        <x:v>921784.5105827631</x:v>
      </x:c>
      <x:c r="J37" s="105" t="n">
        <x:f>SUM(J30:J36)</x:f>
        <x:v>1097981.17065722</x:v>
      </x:c>
      <x:c r="K37" s="105" t="n">
        <x:f>SUM(K30:K36)</x:f>
        <x:v>1295847.9482926826</x:v>
      </x:c>
      <x:c r="L37" s="105" t="n">
        <x:f>SUM(L30:L36)</x:f>
        <x:v>1514302.5454289503</x:v>
      </x:c>
      <x:c r="M37" s="105" t="n">
        <x:f>SUM(M30:M36)</x:f>
        <x:v>1752211.8595684243</x:v>
      </x:c>
      <x:c r="N37" s="3"/>
      <x:c r="O37" s="3"/>
      <x:c r="P37" s="3"/>
      <x:c r="Q37" s="3"/>
    </x:row>
    <x:row r="38" ht="20" customHeight="1">
      <x:c r="C38" s="3"/>
      <x:c r="D38" s="12"/>
      <x:c r="E38" s="12"/>
      <x:c r="F38" s="12"/>
      <x:c r="G38" s="12"/>
      <x:c r="H38" s="12"/>
      <x:c r="I38" s="13"/>
      <x:c r="J38" s="13"/>
      <x:c r="K38" s="13"/>
      <x:c r="L38" s="13"/>
      <x:c r="M38" s="13"/>
      <x:c r="N38" s="3"/>
      <x:c r="O38" s="3"/>
      <x:c r="P38" s="3"/>
      <x:c r="Q38" s="3"/>
    </x:row>
    <x:row r="39" ht="20" customHeight="1">
      <x:c r="C39" s="3" t="str">
        <x:v>Accounts payable (trade and capex)</x:v>
      </x:c>
      <x:c r="D39" s="76" t="n">
        <x:f>'Actuals'!D39</x:f>
        <x:v>19000</x:v>
      </x:c>
      <x:c r="E39" s="76" t="n">
        <x:f>'Actuals'!E39</x:f>
        <x:v>18095</x:v>
      </x:c>
      <x:c r="F39" s="76" t="n">
        <x:f>'Actuals'!F39</x:f>
        <x:v>21996</x:v>
      </x:c>
      <x:c r="G39" s="76" t="n">
        <x:f>'Actuals'!G39</x:f>
        <x:v>27724</x:v>
      </x:c>
      <x:c r="H39" s="76" t="n">
        <x:f>'Actuals'!H39</x:f>
        <x:v>42416</x:v>
      </x:c>
      <x:c r="I39" s="13" t="n">
        <x:f>I8*'Assumptions'!I23/365+'Capital'!I8</x:f>
        <x:v>53521.34654605467</x:v>
      </x:c>
      <x:c r="J39" s="13" t="n">
        <x:f>J8*'Assumptions'!J23/365+'Capital'!J8</x:f>
        <x:v>56450.96002106883</x:v>
      </x:c>
      <x:c r="K39" s="13" t="n">
        <x:f>K8*'Assumptions'!K23/365+'Capital'!K8</x:f>
        <x:v>58129.789798298516</x:v>
      </x:c>
      <x:c r="L39" s="13" t="n">
        <x:f>L8*'Assumptions'!L23/365+'Capital'!L8</x:f>
        <x:v>61013.48828819023</x:v>
      </x:c>
      <x:c r="M39" s="13" t="n">
        <x:f>M8*'Assumptions'!M23/365+'Capital'!M8</x:f>
        <x:v>65825.231300243</x:v>
      </x:c>
      <x:c r="N39" s="3"/>
      <x:c r="O39" s="3"/>
      <x:c r="P39" s="3"/>
      <x:c r="Q39" s="3"/>
    </x:row>
    <x:row r="40" ht="20" customHeight="1">
      <x:c r="C40" s="3" t="str">
        <x:v>Accrued compensation</x:v>
      </x:c>
      <x:c r="D40" s="76" t="n">
        <x:f>'Actuals'!D40</x:f>
        <x:v>10661</x:v>
      </x:c>
      <x:c r="E40" s="76" t="n">
        <x:f>'Actuals'!E40</x:f>
        <x:v>11009</x:v>
      </x:c>
      <x:c r="F40" s="76" t="n">
        <x:f>'Actuals'!F40</x:f>
        <x:v>12564</x:v>
      </x:c>
      <x:c r="G40" s="76" t="n">
        <x:f>'Actuals'!G40</x:f>
        <x:v>13709</x:v>
      </x:c>
      <x:c r="H40" s="76" t="n">
        <x:f>'Actuals'!H40</x:f>
        <x:v>14945</x:v>
      </x:c>
      <x:c r="I40" s="13" t="n">
        <x:f>I7*'Assumptions'!I25</x:f>
        <x:v>17992.59616003544</x:v>
      </x:c>
      <x:c r="J40" s="13" t="n">
        <x:f>J7*'Assumptions'!J25</x:f>
        <x:v>21400.33118237157</x:v>
      </x:c>
      <x:c r="K40" s="13" t="n">
        <x:f>K7*'Assumptions'!K25</x:f>
        <x:v>25018.63998845021</x:v>
      </x:c>
      <x:c r="L40" s="13" t="n">
        <x:f>L7*'Assumptions'!L25</x:f>
        <x:v>28649.090959950376</x:v>
      </x:c>
      <x:c r="M40" s="13" t="n">
        <x:f>M7*'Assumptions'!M25</x:f>
        <x:v>32050.612214978966</x:v>
      </x:c>
      <x:c r="N40" s="3"/>
      <x:c r="O40" s="3"/>
      <x:c r="P40" s="3"/>
      <x:c r="Q40" s="3"/>
    </x:row>
    <x:row r="41" ht="20" customHeight="1">
      <x:c r="C41" s="3" t="str">
        <x:v>Current income taxes payable</x:v>
      </x:c>
      <x:c r="D41" s="76" t="n">
        <x:f>'Actuals'!D41</x:f>
        <x:v>4067</x:v>
      </x:c>
      <x:c r="E41" s="76" t="n">
        <x:f>'Actuals'!E41</x:f>
        <x:v>4152</x:v>
      </x:c>
      <x:c r="F41" s="76" t="n">
        <x:f>'Actuals'!F41</x:f>
        <x:v>5017</x:v>
      </x:c>
      <x:c r="G41" s="76" t="n">
        <x:f>'Actuals'!G41</x:f>
        <x:v>7211</x:v>
      </x:c>
      <x:c r="H41" s="76" t="n">
        <x:f>'Actuals'!H41</x:f>
        <x:v>2534</x:v>
      </x:c>
      <x:c r="I41" s="13" t="n">
        <x:f>I19*'Assumptions'!I28</x:f>
        <x:v>2874.0104921964057</x:v>
      </x:c>
      <x:c r="J41" s="13" t="n">
        <x:f>J19*'Assumptions'!J28</x:f>
        <x:v>3353.6722098852683</x:v>
      </x:c>
      <x:c r="K41" s="13" t="n">
        <x:f>K19*'Assumptions'!K28</x:f>
        <x:v>3922.7183182334866</x:v>
      </x:c>
      <x:c r="L41" s="13" t="n">
        <x:f>L19*'Assumptions'!L28</x:f>
        <x:v>4564.162415780891</x:v>
      </x:c>
      <x:c r="M41" s="13" t="n">
        <x:f>M19*'Assumptions'!M28</x:f>
        <x:v>5157.867114064098</x:v>
      </x:c>
      <x:c r="N41" s="3"/>
      <x:c r="O41" s="3"/>
      <x:c r="P41" s="3"/>
      <x:c r="Q41" s="3"/>
    </x:row>
    <x:row r="42" ht="20" customHeight="1">
      <x:c r="C42" s="3" t="str">
        <x:v>Current deferred revenue</x:v>
      </x:c>
      <x:c r="D42" s="76" t="n">
        <x:f>'Actuals'!D42</x:f>
        <x:v>45538</x:v>
      </x:c>
      <x:c r="E42" s="76" t="n">
        <x:f>'Actuals'!E42</x:f>
        <x:v>50901</x:v>
      </x:c>
      <x:c r="F42" s="76" t="n">
        <x:f>'Actuals'!F42</x:f>
        <x:v>57582</x:v>
      </x:c>
      <x:c r="G42" s="76" t="n">
        <x:f>'Actuals'!G42</x:f>
        <x:v>64555</x:v>
      </x:c>
      <x:c r="H42" s="76" t="n">
        <x:f>'Actuals'!H42</x:f>
        <x:v>72965</x:v>
      </x:c>
      <x:c r="I42" s="13" t="n">
        <x:f>I7*'Assumptions'!I26</x:f>
        <x:v>87844.08021525499</x:v>
      </x:c>
      <x:c r="J42" s="13" t="n">
        <x:f>J7*'Assumptions'!J26</x:f>
        <x:v>104481.44293889205</x:v>
      </x:c>
      <x:c r="K42" s="13" t="n">
        <x:f>K7*'Assumptions'!K26</x:f>
        <x:v>122146.87633036263</x:v>
      </x:c>
      <x:c r="L42" s="13" t="n">
        <x:f>L7*'Assumptions'!L26</x:f>
        <x:v>139871.59062514413</x:v>
      </x:c>
      <x:c r="M42" s="13" t="n">
        <x:f>M7*'Assumptions'!M26</x:f>
        <x:v>156478.61627741318</x:v>
      </x:c>
      <x:c r="N42" s="3"/>
      <x:c r="O42" s="3"/>
      <x:c r="P42" s="3"/>
      <x:c r="Q42" s="3"/>
    </x:row>
    <x:row r="43" ht="20" customHeight="1">
      <x:c r="C43" s="3" t="str">
        <x:v>Other current liabilities, ex finance leases</x:v>
      </x:c>
      <x:c r="D43" s="76" t="n">
        <x:f>'Actuals'!D43</x:f>
        <x:v>12007</x:v>
      </x:c>
      <x:c r="E43" s="76" t="n">
        <x:f>'Actuals'!E43</x:f>
        <x:v>13548</x:v>
      </x:c>
      <x:c r="F43" s="76" t="n">
        <x:f>'Actuals'!F43</x:f>
        <x:v>16836</x:v>
      </x:c>
      <x:c r="G43" s="76" t="n">
        <x:f>'Actuals'!G43</x:f>
        <x:v>21848</x:v>
      </x:c>
      <x:c r="H43" s="76" t="n">
        <x:f>'Actuals'!H43</x:f>
        <x:v>22448</x:v>
      </x:c>
      <x:c r="I43" s="13" t="n">
        <x:f>I7*'Assumptions'!I27+'Capital'!I56</x:f>
        <x:v>25346.530091201646</x:v>
      </x:c>
      <x:c r="J43" s="13" t="n">
        <x:f>J7*'Assumptions'!J27+'Capital'!J56</x:f>
        <x:v>30548.42902277439</x:v>
      </x:c>
      <x:c r="K43" s="13" t="n">
        <x:f>K7*'Assumptions'!K27+'Capital'!K56</x:f>
        <x:v>36140.020113388266</x:v>
      </x:c>
      <x:c r="L43" s="13" t="n">
        <x:f>L7*'Assumptions'!L27+'Capital'!L56</x:f>
        <x:v>41385.26519164347</x:v>
      </x:c>
      <x:c r="M43" s="13" t="n">
        <x:f>M7*'Assumptions'!M27+'Capital'!M56</x:f>
        <x:v>46474.026865085696</x:v>
      </x:c>
      <x:c r="N43" s="3"/>
      <x:c r="O43" s="3"/>
      <x:c r="P43" s="3"/>
      <x:c r="Q43" s="3"/>
    </x:row>
    <x:row r="44" ht="20" customHeight="1">
      <x:c r="C44" s="3" t="str">
        <x:v>Current finance lease liability</x:v>
      </x:c>
      <x:c r="D44" s="76" t="n">
        <x:f>'Actuals'!D44</x:f>
        <x:v>1060</x:v>
      </x:c>
      <x:c r="E44" s="76" t="n">
        <x:f>'Actuals'!E44</x:f>
        <x:v>1197</x:v>
      </x:c>
      <x:c r="F44" s="76" t="n">
        <x:f>'Actuals'!F44</x:f>
        <x:v>2349</x:v>
      </x:c>
      <x:c r="G44" s="76" t="n">
        <x:f>'Actuals'!G44</x:f>
        <x:v>3172</x:v>
      </x:c>
      <x:c r="H44" s="76" t="n">
        <x:f>'Actuals'!H44</x:f>
        <x:v>4290</x:v>
      </x:c>
      <x:c r="I44" s="13" t="n">
        <x:f>'Capital'!I43</x:f>
        <x:v>5712.117134615386</x:v>
      </x:c>
      <x:c r="J44" s="13" t="n">
        <x:f>'Capital'!J43</x:f>
        <x:v>6567.158577596155</x:v>
      </x:c>
      <x:c r="K44" s="13" t="n">
        <x:f>'Capital'!K43</x:f>
        <x:v>7933.7511331091355</x:v>
      </x:c>
      <x:c r="L44" s="13" t="n">
        <x:f>'Capital'!L43</x:f>
        <x:v>9316.513367394979</x:v>
      </x:c>
      <x:c r="M44" s="13" t="n">
        <x:f>'Capital'!M43</x:f>
        <x:v>10604.983281551536</x:v>
      </x:c>
      <x:c r="N44" s="3"/>
      <x:c r="O44" s="3"/>
      <x:c r="P44" s="3"/>
      <x:c r="Q44" s="3"/>
    </x:row>
    <x:row r="45" ht="20" customHeight="1">
      <x:c r="C45" s="3" t="str">
        <x:v>Current corporate debt</x:v>
      </x:c>
      <x:c r="D45" s="76" t="n">
        <x:f>'Actuals'!D45</x:f>
        <x:v>2749</x:v>
      </x:c>
      <x:c r="E45" s="76" t="n">
        <x:f>'Actuals'!E45</x:f>
        <x:v>5247</x:v>
      </x:c>
      <x:c r="F45" s="76" t="n">
        <x:f>'Actuals'!F45</x:f>
        <x:v>2249</x:v>
      </x:c>
      <x:c r="G45" s="76" t="n">
        <x:f>'Actuals'!G45</x:f>
        <x:v>2999</x:v>
      </x:c>
      <x:c r="H45" s="76" t="n">
        <x:f>'Actuals'!H45</x:f>
        <x:v>9227</x:v>
      </x:c>
      <x:c r="I45" s="13" t="n">
        <x:f>'Actuals'!J126</x:f>
        <x:v>0</x:v>
      </x:c>
      <x:c r="J45" s="13" t="n">
        <x:f>'Actuals'!K126</x:f>
        <x:v>2001</x:v>
      </x:c>
      <x:c r="K45" s="13" t="n">
        <x:f>'Actuals'!L126</x:f>
        <x:v>0</x:v>
      </x:c>
      <x:c r="L45" s="13" t="n">
        <x:f>'Actuals'!M126</x:f>
        <x:v>500</x:v>
      </x:c>
      <x:c r="M45" s="5" t="n">
        <x:f>0</x:f>
        <x:v>0</x:v>
      </x:c>
      <x:c r="N45" s="3"/>
      <x:c r="O45" s="36" t="str">
        <x:v>FY2031 current corporate debt assumes no FY2032 maturity. Total debt stays unchanged.</x:v>
      </x:c>
      <x:c r="P45" s="3"/>
      <x:c r="Q45" s="3"/>
    </x:row>
    <x:row r="46" ht="20" customHeight="1">
      <x:c r="C46" s="20" t="str">
        <x:v>Total current liabilities</x:v>
      </x:c>
      <x:c r="D46" s="103" t="n">
        <x:f>'Actuals'!D46</x:f>
        <x:v>95082</x:v>
      </x:c>
      <x:c r="E46" s="103" t="n">
        <x:f>'Actuals'!E46</x:f>
        <x:v>104149</x:v>
      </x:c>
      <x:c r="F46" s="103" t="n">
        <x:f>'Actuals'!F46</x:f>
        <x:v>125286</x:v>
      </x:c>
      <x:c r="G46" s="103" t="n">
        <x:f>'Actuals'!G46</x:f>
        <x:v>141218</x:v>
      </x:c>
      <x:c r="H46" s="103" t="n">
        <x:f>'Actuals'!H46</x:f>
        <x:v>168825</x:v>
      </x:c>
      <x:c r="I46" s="105" t="n">
        <x:f>SUM(I39:I45)</x:f>
        <x:v>193290.68063935853</x:v>
      </x:c>
      <x:c r="J46" s="105" t="n">
        <x:f>SUM(J39:J45)</x:f>
        <x:v>224802.99395258827</x:v>
      </x:c>
      <x:c r="K46" s="105" t="n">
        <x:f>SUM(K39:K45)</x:f>
        <x:v>253291.79568184222</x:v>
      </x:c>
      <x:c r="L46" s="105" t="n">
        <x:f>SUM(L39:L45)</x:f>
        <x:v>285300.11084810406</x:v>
      </x:c>
      <x:c r="M46" s="105" t="n">
        <x:f>SUM(M39:M45)</x:f>
        <x:v>316591.33705333644</x:v>
      </x:c>
      <x:c r="N46" s="3"/>
      <x:c r="O46" s="3"/>
      <x:c r="P46" s="3"/>
      <x:c r="Q46" s="3"/>
    </x:row>
    <x:row r="47" ht="20" customHeight="1">
      <x:c r="C47" s="3" t="str">
        <x:v>Long-term corporate debt</x:v>
      </x:c>
      <x:c r="D47" s="76" t="n">
        <x:f>'Actuals'!D47</x:f>
        <x:v>47032</x:v>
      </x:c>
      <x:c r="E47" s="76" t="n">
        <x:f>'Actuals'!E47</x:f>
        <x:v>41990</x:v>
      </x:c>
      <x:c r="F47" s="76" t="n">
        <x:f>'Actuals'!F47</x:f>
        <x:v>42688</x:v>
      </x:c>
      <x:c r="G47" s="76" t="n">
        <x:f>'Actuals'!G47</x:f>
        <x:v>40152</x:v>
      </x:c>
      <x:c r="H47" s="76" t="n">
        <x:f>'Actuals'!H47</x:f>
        <x:v>31067</x:v>
      </x:c>
      <x:c r="I47" s="13" t="n">
        <x:f>'Funding'!I10-I45</x:f>
        <x:v>40294</x:v>
      </x:c>
      <x:c r="J47" s="13" t="n">
        <x:f>'Funding'!J10-J45</x:f>
        <x:v>38293</x:v>
      </x:c>
      <x:c r="K47" s="13" t="n">
        <x:f>'Funding'!K10-K45</x:f>
        <x:v>40294</x:v>
      </x:c>
      <x:c r="L47" s="13" t="n">
        <x:f>'Funding'!L10-L45</x:f>
        <x:v>39794</x:v>
      </x:c>
      <x:c r="M47" s="13" t="n">
        <x:f>'Funding'!M10-M45</x:f>
        <x:v>40294</x:v>
      </x:c>
      <x:c r="N47" s="3"/>
      <x:c r="O47" s="3"/>
      <x:c r="P47" s="3"/>
      <x:c r="Q47" s="3"/>
    </x:row>
    <x:row r="48" ht="20" customHeight="1">
      <x:c r="C48" s="3" t="str">
        <x:v>Long-term income tax liabilities</x:v>
      </x:c>
      <x:c r="D48" s="76" t="n">
        <x:f>'Actuals'!D48</x:f>
        <x:v>26069</x:v>
      </x:c>
      <x:c r="E48" s="76" t="n">
        <x:f>'Actuals'!E48</x:f>
        <x:v>25560</x:v>
      </x:c>
      <x:c r="F48" s="76" t="n">
        <x:f>'Actuals'!F48</x:f>
        <x:v>27931</x:v>
      </x:c>
      <x:c r="G48" s="76" t="n">
        <x:f>'Actuals'!G48</x:f>
        <x:v>25986</x:v>
      </x:c>
      <x:c r="H48" s="76" t="n">
        <x:f>'Actuals'!H48</x:f>
        <x:v>28647</x:v>
      </x:c>
      <x:c r="I48" s="13" t="n">
        <x:f>'Actuals'!$H$48</x:f>
        <x:v>28647</x:v>
      </x:c>
      <x:c r="J48" s="13" t="n">
        <x:f>'Actuals'!$H$48</x:f>
        <x:v>28647</x:v>
      </x:c>
      <x:c r="K48" s="13" t="n">
        <x:f>'Actuals'!$H$48</x:f>
        <x:v>28647</x:v>
      </x:c>
      <x:c r="L48" s="13" t="n">
        <x:f>'Actuals'!$H$48</x:f>
        <x:v>28647</x:v>
      </x:c>
      <x:c r="M48" s="13" t="n">
        <x:f>'Actuals'!$H$48</x:f>
        <x:v>28647</x:v>
      </x:c>
      <x:c r="N48" s="3"/>
      <x:c r="O48" s="3"/>
      <x:c r="P48" s="3"/>
      <x:c r="Q48" s="3"/>
    </x:row>
    <x:row r="49" ht="20" customHeight="1">
      <x:c r="C49" s="3" t="str">
        <x:v>Long-term deferred revenue</x:v>
      </x:c>
      <x:c r="D49" s="76" t="n">
        <x:f>'Actuals'!D49</x:f>
        <x:v>2870</x:v>
      </x:c>
      <x:c r="E49" s="76" t="n">
        <x:f>'Actuals'!E49</x:f>
        <x:v>2912</x:v>
      </x:c>
      <x:c r="F49" s="76" t="n">
        <x:f>'Actuals'!F49</x:f>
        <x:v>2602</x:v>
      </x:c>
      <x:c r="G49" s="76" t="n">
        <x:f>'Actuals'!G49</x:f>
        <x:v>2710</x:v>
      </x:c>
      <x:c r="H49" s="76" t="n">
        <x:f>'Actuals'!H49</x:f>
        <x:v>2747</x:v>
      </x:c>
      <x:c r="I49" s="13" t="n">
        <x:f>I7*'Assumptions'!I29</x:f>
        <x:v>3307.1704015802843</x:v>
      </x:c>
      <x:c r="J49" s="13" t="n">
        <x:f>J7*'Assumptions'!J29</x:f>
        <x:v>3933.536952691516</x:v>
      </x:c>
      <x:c r="K49" s="13" t="n">
        <x:f>K7*'Assumptions'!K29</x:f>
        <x:v>4598.608501055385</x:v>
      </x:c>
      <x:c r="L49" s="13" t="n">
        <x:f>L7*'Assumptions'!L29</x:f>
        <x:v>5265.911867981511</x:v>
      </x:c>
      <x:c r="M49" s="13" t="n">
        <x:f>M7*'Assumptions'!M29</x:f>
        <x:v>5891.136283342069</x:v>
      </x:c>
      <x:c r="N49" s="3"/>
      <x:c r="O49" s="3"/>
      <x:c r="P49" s="3"/>
      <x:c r="Q49" s="3"/>
    </x:row>
    <x:row r="50" ht="20" customHeight="1">
      <x:c r="C50" s="3" t="str">
        <x:v>Deferred income tax liabilities</x:v>
      </x:c>
      <x:c r="D50" s="76" t="n">
        <x:f>'Actuals'!D50</x:f>
        <x:v>230</x:v>
      </x:c>
      <x:c r="E50" s="76" t="n">
        <x:f>'Actuals'!E50</x:f>
        <x:v>433</x:v>
      </x:c>
      <x:c r="F50" s="76" t="n">
        <x:f>'Actuals'!F50</x:f>
        <x:v>2618</x:v>
      </x:c>
      <x:c r="G50" s="76" t="n">
        <x:f>'Actuals'!G50</x:f>
        <x:v>2835</x:v>
      </x:c>
      <x:c r="H50" s="76" t="n">
        <x:f>'Actuals'!H50</x:f>
        <x:v>3054</x:v>
      </x:c>
      <x:c r="I50" s="13" t="n">
        <x:f>'Actuals'!$H$50</x:f>
        <x:v>3054</x:v>
      </x:c>
      <x:c r="J50" s="13" t="n">
        <x:f>'Actuals'!$H$50</x:f>
        <x:v>3054</x:v>
      </x:c>
      <x:c r="K50" s="13" t="n">
        <x:f>'Actuals'!$H$50</x:f>
        <x:v>3054</x:v>
      </x:c>
      <x:c r="L50" s="13" t="n">
        <x:f>'Actuals'!$H$50</x:f>
        <x:v>3054</x:v>
      </x:c>
      <x:c r="M50" s="13" t="n">
        <x:f>'Actuals'!$H$50</x:f>
        <x:v>3054</x:v>
      </x:c>
      <x:c r="N50" s="3"/>
      <x:c r="O50" s="3"/>
      <x:c r="P50" s="3"/>
      <x:c r="Q50" s="3"/>
    </x:row>
    <x:row r="51" ht="20" customHeight="1">
      <x:c r="C51" s="3" t="str">
        <x:v>Long-term operating lease liabilities</x:v>
      </x:c>
      <x:c r="D51" s="76" t="n">
        <x:f>'Actuals'!D51</x:f>
        <x:v>11489</x:v>
      </x:c>
      <x:c r="E51" s="76" t="n">
        <x:f>'Actuals'!E51</x:f>
        <x:v>12728</x:v>
      </x:c>
      <x:c r="F51" s="76" t="n">
        <x:f>'Actuals'!F51</x:f>
        <x:v>15497</x:v>
      </x:c>
      <x:c r="G51" s="76" t="n">
        <x:f>'Actuals'!G51</x:f>
        <x:v>17437</x:v>
      </x:c>
      <x:c r="H51" s="76" t="n">
        <x:f>'Actuals'!H51</x:f>
        <x:v>16532</x:v>
      </x:c>
      <x:c r="I51" s="13" t="n">
        <x:f>'Capital'!I57</x:f>
        <x:v>24068.305354166667</x:v>
      </x:c>
      <x:c r="J51" s="13" t="n">
        <x:f>'Capital'!J57</x:f>
        <x:v>30633.53075611111</x:v>
      </x:c>
      <x:c r="K51" s="13" t="n">
        <x:f>'Capital'!K57</x:f>
        <x:v>37945.69942842731</x:v>
      </x:c>
      <x:c r="L51" s="13" t="n">
        <x:f>'Capital'!L57</x:f>
        <x:v>43456.855793629285</x:v>
      </x:c>
      <x:c r="M51" s="13" t="n">
        <x:f>'Capital'!M57</x:f>
        <x:v>49491.85017472045</x:v>
      </x:c>
      <x:c r="N51" s="3"/>
      <x:c r="O51" s="3"/>
      <x:c r="P51" s="3"/>
      <x:c r="Q51" s="3"/>
    </x:row>
    <x:row r="52" ht="20" customHeight="1">
      <x:c r="C52" s="3" t="str">
        <x:v>Other long-term liabilities, ex finance leases</x:v>
      </x:c>
      <x:c r="D52" s="76" t="n">
        <x:f>'Actuals'!D52</x:f>
        <x:v>1684</x:v>
      </x:c>
      <x:c r="E52" s="76" t="n">
        <x:f>'Actuals'!E52</x:f>
        <x:v>2111</x:v>
      </x:c>
      <x:c r="F52" s="76" t="n">
        <x:f>'Actuals'!F52</x:f>
        <x:v>2268</x:v>
      </x:c>
      <x:c r="G52" s="76" t="n">
        <x:f>'Actuals'!G52</x:f>
        <x:v>2186</x:v>
      </x:c>
      <x:c r="H52" s="76" t="n">
        <x:f>'Actuals'!H52</x:f>
        <x:v>2813</x:v>
      </x:c>
      <x:c r="I52" s="13" t="n">
        <x:f>'Actuals'!$H$52</x:f>
        <x:v>2813</x:v>
      </x:c>
      <x:c r="J52" s="13" t="n">
        <x:f>'Actuals'!$H$52</x:f>
        <x:v>2813</x:v>
      </x:c>
      <x:c r="K52" s="13" t="n">
        <x:f>'Actuals'!$H$52</x:f>
        <x:v>2813</x:v>
      </x:c>
      <x:c r="L52" s="13" t="n">
        <x:f>'Actuals'!$H$52</x:f>
        <x:v>2813</x:v>
      </x:c>
      <x:c r="M52" s="13" t="n">
        <x:f>'Actuals'!$H$52</x:f>
        <x:v>2813</x:v>
      </x:c>
      <x:c r="N52" s="3"/>
      <x:c r="O52" s="3"/>
      <x:c r="P52" s="3"/>
      <x:c r="Q52" s="3"/>
    </x:row>
    <x:row r="53" ht="20" customHeight="1">
      <x:c r="C53" s="3" t="str">
        <x:v>Long-term finance lease liabilities</x:v>
      </x:c>
      <x:c r="D53" s="76" t="n">
        <x:f>'Actuals'!D53</x:f>
        <x:v>13842</x:v>
      </x:c>
      <x:c r="E53" s="76" t="n">
        <x:f>'Actuals'!E53</x:f>
        <x:v>15870</x:v>
      </x:c>
      <x:c r="F53" s="76" t="n">
        <x:f>'Actuals'!F53</x:f>
        <x:v>24796</x:v>
      </x:c>
      <x:c r="G53" s="76" t="n">
        <x:f>'Actuals'!G53</x:f>
        <x:v>43000</x:v>
      </x:c>
      <x:c r="H53" s="76" t="n">
        <x:f>'Actuals'!H53</x:f>
        <x:v>62304</x:v>
      </x:c>
      <x:c r="I53" s="13" t="n">
        <x:f>'Capital'!I44</x:f>
        <x:v>72123.30017307692</x:v>
      </x:c>
      <x:c r="J53" s="13" t="n">
        <x:f>'Capital'!J44</x:f>
        <x:v>81547.54967336537</x:v>
      </x:c>
      <x:c r="K53" s="13" t="n">
        <x:f>'Capital'!K44</x:f>
        <x:v>89638.24807662163</x:v>
      </x:c>
      <x:c r="L53" s="13" t="n">
        <x:f>'Capital'!L44</x:f>
        <x:v>95613.19714691318</x:v>
      </x:c>
      <x:c r="M53" s="13" t="n">
        <x:f>'Capital'!M44</x:f>
        <x:v>98693.83435434227</x:v>
      </x:c>
      <x:c r="N53" s="3"/>
      <x:c r="O53" s="3"/>
      <x:c r="P53" s="3"/>
      <x:c r="Q53" s="3"/>
    </x:row>
    <x:row r="54" ht="20" customHeight="1">
      <x:c r="C54" s="20" t="str">
        <x:v>Total liabilities</x:v>
      </x:c>
      <x:c r="D54" s="103" t="n">
        <x:f>'Actuals'!D54</x:f>
        <x:v>198298</x:v>
      </x:c>
      <x:c r="E54" s="103" t="n">
        <x:f>'Actuals'!E54</x:f>
        <x:v>205753</x:v>
      </x:c>
      <x:c r="F54" s="103" t="n">
        <x:f>'Actuals'!F54</x:f>
        <x:v>243686</x:v>
      </x:c>
      <x:c r="G54" s="103" t="n">
        <x:f>'Actuals'!G54</x:f>
        <x:v>275524</x:v>
      </x:c>
      <x:c r="H54" s="103" t="n">
        <x:f>'Actuals'!H54</x:f>
        <x:v>315989</x:v>
      </x:c>
      <x:c r="I54" s="105" t="n">
        <x:f>SUM(I46:I53)</x:f>
        <x:v>367597.4565681824</x:v>
      </x:c>
      <x:c r="J54" s="105" t="n">
        <x:f>SUM(J46:J53)</x:f>
        <x:v>413724.6113347563</x:v>
      </x:c>
      <x:c r="K54" s="105" t="n">
        <x:f>SUM(K46:K53)</x:f>
        <x:v>460282.3516879466</x:v>
      </x:c>
      <x:c r="L54" s="105" t="n">
        <x:f>SUM(L46:L53)</x:f>
        <x:v>503944.075656628</x:v>
      </x:c>
      <x:c r="M54" s="105" t="n">
        <x:f>SUM(M46:M53)</x:f>
        <x:v>545476.1578657413</x:v>
      </x:c>
      <x:c r="N54" s="3"/>
      <x:c r="O54" s="3"/>
      <x:c r="P54" s="3"/>
      <x:c r="Q54" s="3"/>
    </x:row>
    <x:row r="55" ht="20" customHeight="1">
      <x:c r="C55" s="3"/>
      <x:c r="D55" s="12"/>
      <x:c r="E55" s="12"/>
      <x:c r="F55" s="12"/>
      <x:c r="G55" s="12"/>
      <x:c r="H55" s="12"/>
      <x:c r="I55" s="13"/>
      <x:c r="J55" s="13"/>
      <x:c r="K55" s="13"/>
      <x:c r="L55" s="13"/>
      <x:c r="M55" s="13"/>
      <x:c r="N55" s="3"/>
      <x:c r="O55" s="3"/>
      <x:c r="P55" s="3"/>
      <x:c r="Q55" s="3"/>
    </x:row>
    <x:row r="56" ht="20" customHeight="1">
      <x:c r="C56" s="3" t="str">
        <x:v>Common stock and paid-in capital</x:v>
      </x:c>
      <x:c r="D56" s="76" t="n">
        <x:f>'Actuals'!D56</x:f>
        <x:v>86939</x:v>
      </x:c>
      <x:c r="E56" s="76" t="n">
        <x:f>'Actuals'!E56</x:f>
        <x:v>93718</x:v>
      </x:c>
      <x:c r="F56" s="76" t="n">
        <x:f>'Actuals'!F56</x:f>
        <x:v>100923</x:v>
      </x:c>
      <x:c r="G56" s="76" t="n">
        <x:f>'Actuals'!G56</x:f>
        <x:v>109095</x:v>
      </x:c>
      <x:c r="H56" s="76" t="n">
        <x:f>'Actuals'!H56</x:f>
        <x:v>117406</x:v>
      </x:c>
      <x:c r="I56" s="13" t="n">
        <x:f>'Funding'!I30</x:f>
        <x:v>134296.79119</x:v>
      </x:c>
      <x:c r="J56" s="13" t="n">
        <x:f>'Funding'!J30</x:f>
        <x:v>153617.0288596</x:v>
      </x:c>
      <x:c r="K56" s="13" t="n">
        <x:f>'Funding'!K30</x:f>
        <x:v>175385.02763039</x:v>
      </x:c>
      <x:c r="L56" s="13" t="n">
        <x:f>'Funding'!L30</x:f>
        <x:v>199454.27210225383</x:v>
      </x:c>
      <x:c r="M56" s="13" t="n">
        <x:f>'Funding'!M30</x:f>
        <x:v>225501.7968613446</x:v>
      </x:c>
      <x:c r="N56" s="3"/>
      <x:c r="O56" s="3"/>
      <x:c r="P56" s="3"/>
      <x:c r="Q56" s="3"/>
    </x:row>
    <x:row r="57" ht="20" customHeight="1">
      <x:c r="C57" s="3" t="str">
        <x:v>Retained earnings</x:v>
      </x:c>
      <x:c r="D57" s="76" t="n">
        <x:f>'Actuals'!D57</x:f>
        <x:v>84281</x:v>
      </x:c>
      <x:c r="E57" s="76" t="n">
        <x:f>'Actuals'!E57</x:f>
        <x:v>118848</x:v>
      </x:c>
      <x:c r="F57" s="76" t="n">
        <x:f>'Actuals'!F57</x:f>
        <x:v>173144</x:v>
      </x:c>
      <x:c r="G57" s="76" t="n">
        <x:f>'Actuals'!G57</x:f>
        <x:v>237731</x:v>
      </x:c>
      <x:c r="H57" s="76" t="n">
        <x:f>'Actuals'!H57</x:f>
        <x:v>328265</x:v>
      </x:c>
      <x:c r="I57" s="13" t="n">
        <x:f>'Funding'!I32</x:f>
        <x:v>423174.2628245807</x:v>
      </x:c>
      <x:c r="J57" s="13" t="n">
        <x:f>'Funding'!J32</x:f>
        <x:v>533923.5304628637</x:v>
      </x:c>
      <x:c r="K57" s="13" t="n">
        <x:f>'Funding'!K32</x:f>
        <x:v>663464.568974346</x:v>
      </x:c>
      <x:c r="L57" s="13" t="n">
        <x:f>'Funding'!L32</x:f>
        <x:v>814188.1976700685</x:v>
      </x:c>
      <x:c r="M57" s="13" t="n">
        <x:f>'Funding'!M32</x:f>
        <x:v>984517.9048413383</x:v>
      </x:c>
      <x:c r="N57" s="3"/>
      <x:c r="O57" s="3"/>
      <x:c r="P57" s="3"/>
      <x:c r="Q57" s="3"/>
    </x:row>
    <x:row r="58" ht="20" customHeight="1">
      <x:c r="C58" s="3" t="str">
        <x:v>Accumulated other comprehensive income</x:v>
      </x:c>
      <x:c r="D58" s="76" t="n">
        <x:f>'Actuals'!D58</x:f>
        <x:v>-4678</x:v>
      </x:c>
      <x:c r="E58" s="76" t="n">
        <x:f>'Actuals'!E58</x:f>
        <x:v>-6343</x:v>
      </x:c>
      <x:c r="F58" s="76" t="n">
        <x:f>'Actuals'!F58</x:f>
        <x:v>-5590</x:v>
      </x:c>
      <x:c r="G58" s="76" t="n">
        <x:f>'Actuals'!G58</x:f>
        <x:v>-3347</x:v>
      </x:c>
      <x:c r="H58" s="76" t="n">
        <x:f>'Actuals'!H58</x:f>
        <x:v>-3284</x:v>
      </x:c>
      <x:c r="I58" s="13" t="n">
        <x:f>'Funding'!I33</x:f>
        <x:v>-3284</x:v>
      </x:c>
      <x:c r="J58" s="13" t="n">
        <x:f>'Funding'!J33</x:f>
        <x:v>-3284</x:v>
      </x:c>
      <x:c r="K58" s="13" t="n">
        <x:f>'Funding'!K33</x:f>
        <x:v>-3284</x:v>
      </x:c>
      <x:c r="L58" s="13" t="n">
        <x:f>'Funding'!L33</x:f>
        <x:v>-3284</x:v>
      </x:c>
      <x:c r="M58" s="13" t="n">
        <x:f>'Funding'!M33</x:f>
        <x:v>-3284</x:v>
      </x:c>
      <x:c r="N58" s="3"/>
      <x:c r="O58" s="3"/>
      <x:c r="P58" s="3"/>
      <x:c r="Q58" s="3"/>
    </x:row>
    <x:row r="59" ht="20" customHeight="1">
      <x:c r="C59" s="20" t="str">
        <x:v>Total equity</x:v>
      </x:c>
      <x:c r="D59" s="103" t="n">
        <x:f>'Actuals'!D59</x:f>
        <x:v>166542</x:v>
      </x:c>
      <x:c r="E59" s="103" t="n">
        <x:f>'Actuals'!E59</x:f>
        <x:v>206223</x:v>
      </x:c>
      <x:c r="F59" s="103" t="n">
        <x:f>'Actuals'!F59</x:f>
        <x:v>268477</x:v>
      </x:c>
      <x:c r="G59" s="103" t="n">
        <x:f>'Actuals'!G59</x:f>
        <x:v>343479</x:v>
      </x:c>
      <x:c r="H59" s="103" t="n">
        <x:f>'Actuals'!H59</x:f>
        <x:v>442387</x:v>
      </x:c>
      <x:c r="I59" s="105" t="n">
        <x:f>SUM(I56:I58)</x:f>
        <x:v>554187.0540145807</x:v>
      </x:c>
      <x:c r="J59" s="105" t="n">
        <x:f>SUM(J56:J58)</x:f>
        <x:v>684256.5593224637</x:v>
      </x:c>
      <x:c r="K59" s="105" t="n">
        <x:f>SUM(K56:K58)</x:f>
        <x:v>835565.596604736</x:v>
      </x:c>
      <x:c r="L59" s="105" t="n">
        <x:f>SUM(L56:L58)</x:f>
        <x:v>1010358.4697723223</x:v>
      </x:c>
      <x:c r="M59" s="105" t="n">
        <x:f>SUM(M56:M58)</x:f>
        <x:v>1206735.7017026828</x:v>
      </x:c>
      <x:c r="N59" s="3"/>
      <x:c r="O59" s="3"/>
      <x:c r="P59" s="3"/>
      <x:c r="Q59" s="3"/>
    </x:row>
    <x:row r="60" ht="20" customHeight="1">
      <x:c r="C60" s="20" t="str">
        <x:v>Total liabilities and equity</x:v>
      </x:c>
      <x:c r="D60" s="103" t="n">
        <x:f>'Actuals'!D60</x:f>
        <x:v>364840</x:v>
      </x:c>
      <x:c r="E60" s="103" t="n">
        <x:f>'Actuals'!E60</x:f>
        <x:v>411976</x:v>
      </x:c>
      <x:c r="F60" s="103" t="n">
        <x:f>'Actuals'!F60</x:f>
        <x:v>512163</x:v>
      </x:c>
      <x:c r="G60" s="103" t="n">
        <x:f>'Actuals'!G60</x:f>
        <x:v>619003</x:v>
      </x:c>
      <x:c r="H60" s="103" t="n">
        <x:f>'Actuals'!H60</x:f>
        <x:v>758376</x:v>
      </x:c>
      <x:c r="I60" s="105" t="n">
        <x:f>SUM(I54,I59)</x:f>
        <x:v>921784.510582763</x:v>
      </x:c>
      <x:c r="J60" s="105" t="n">
        <x:f>SUM(J54,J59)</x:f>
        <x:v>1097981.17065722</x:v>
      </x:c>
      <x:c r="K60" s="105" t="n">
        <x:f>SUM(K54,K59)</x:f>
        <x:v>1295847.9482926826</x:v>
      </x:c>
      <x:c r="L60" s="105" t="n">
        <x:f>SUM(L54,L59)</x:f>
        <x:v>1514302.5454289503</x:v>
      </x:c>
      <x:c r="M60" s="105" t="n">
        <x:f>SUM(M54,M59)</x:f>
        <x:v>1752211.859568424</x:v>
      </x:c>
      <x:c r="N60" s="3"/>
      <x:c r="O60" s="3"/>
      <x:c r="P60" s="3"/>
      <x:c r="Q60" s="3"/>
    </x:row>
    <x:row r="61" ht="20" customHeight="1">
      <x:c r="C61" s="3"/>
      <x:c r="D61" s="12"/>
      <x:c r="E61" s="12"/>
      <x:c r="F61" s="12"/>
      <x:c r="G61" s="12"/>
      <x:c r="H61" s="12"/>
      <x:c r="I61" s="13"/>
      <x:c r="J61" s="13"/>
      <x:c r="K61" s="13"/>
      <x:c r="L61" s="13"/>
      <x:c r="M61" s="13"/>
      <x:c r="N61" s="3"/>
      <x:c r="O61" s="3"/>
      <x:c r="P61" s="3"/>
      <x:c r="Q61" s="3"/>
    </x:row>
    <x:row r="62" ht="23" customHeight="1">
      <x:c r="C62" s="10" t="str">
        <x:v>CASH FLOW STATEMENT</x:v>
      </x:c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3"/>
      <x:c r="O62" s="3"/>
      <x:c r="P62" s="3"/>
      <x:c r="Q62" s="3"/>
    </x:row>
    <x:row r="63" ht="20" customHeight="1">
      <x:c r="C63" s="3" t="str">
        <x:v>Net income</x:v>
      </x:c>
      <x:c r="D63" s="76" t="n">
        <x:f>'Actuals'!D63</x:f>
        <x:v>72738</x:v>
      </x:c>
      <x:c r="E63" s="76" t="n">
        <x:f>'Actuals'!E63</x:f>
        <x:v>72361</x:v>
      </x:c>
      <x:c r="F63" s="76" t="n">
        <x:f>'Actuals'!F63</x:f>
        <x:v>88136</x:v>
      </x:c>
      <x:c r="G63" s="76" t="n">
        <x:f>'Actuals'!G63</x:f>
        <x:v>101832</x:v>
      </x:c>
      <x:c r="H63" s="76" t="n">
        <x:f>'Actuals'!H63</x:f>
        <x:v>133749</x:v>
      </x:c>
      <x:c r="I63" s="5" t="n">
        <x:f>I20</x:f>
        <x:v>146014.25049935488</x:v>
      </x:c>
      <x:c r="J63" s="5" t="n">
        <x:f>J20</x:f>
        <x:v>170383.48867428154</x:v>
      </x:c>
      <x:c r="K63" s="5" t="n">
        <x:f>K20</x:f>
        <x:v>199293.90540228056</x:v>
      </x:c>
      <x:c r="L63" s="5" t="n">
        <x:f>L20</x:f>
        <x:v>231882.50568572688</x:v>
      </x:c>
      <x:c r="M63" s="5" t="n">
        <x:f>M20</x:f>
        <x:v>262045.7033404151</x:v>
      </x:c>
      <x:c r="N63" s="3"/>
      <x:c r="O63" s="3"/>
      <x:c r="P63" s="3"/>
      <x:c r="Q63" s="3"/>
    </x:row>
    <x:row r="64" ht="20" customHeight="1">
      <x:c r="C64" s="3" t="str">
        <x:v>D&amp;A and other (A) / D&amp;A (F)</x:v>
      </x:c>
      <x:c r="D64" s="76" t="n">
        <x:f>'Actuals'!D64</x:f>
        <x:v>14460</x:v>
      </x:c>
      <x:c r="E64" s="76" t="n">
        <x:f>'Actuals'!E64</x:f>
        <x:v>13861</x:v>
      </x:c>
      <x:c r="F64" s="76" t="n">
        <x:f>'Actuals'!F64</x:f>
        <x:v>20958</x:v>
      </x:c>
      <x:c r="G64" s="76" t="n">
        <x:f>'Actuals'!G64</x:f>
        <x:v>29433</x:v>
      </x:c>
      <x:c r="H64" s="76" t="n">
        <x:f>'Actuals'!H64</x:f>
        <x:v>38534</x:v>
      </x:c>
      <x:c r="I64" s="13" t="n">
        <x:f>'Capital'!I21</x:f>
        <x:v>52774.81416853333</x:v>
      </x:c>
      <x:c r="J64" s="13" t="n">
        <x:f>'Capital'!J21</x:f>
        <x:v>75535.76826366506</x:v>
      </x:c>
      <x:c r="K64" s="13" t="n">
        <x:f>'Capital'!K21</x:f>
        <x:v>99092.65102179119</x:v>
      </x:c>
      <x:c r="L64" s="13" t="n">
        <x:f>'Capital'!L21</x:f>
        <x:v>122489.04094354613</x:v>
      </x:c>
      <x:c r="M64" s="13" t="n">
        <x:f>'Capital'!M21</x:f>
        <x:v>146058.81180385084</x:v>
      </x:c>
      <x:c r="N64" s="3"/>
      <x:c r="O64" s="36" t="str">
        <x:v>Actual cash-flow row includes other adjustments. Forecast uses explicit PP&amp;E depreciation and scheduled intangible amortization.</x:v>
      </x:c>
      <x:c r="P64" s="3"/>
      <x:c r="Q64" s="3"/>
    </x:row>
    <x:row r="65" ht="20" customHeight="1">
      <x:c r="C65" s="3" t="str">
        <x:v>Stock-based compensation</x:v>
      </x:c>
      <x:c r="D65" s="76" t="n">
        <x:f>'Actuals'!D65</x:f>
        <x:v>7502</x:v>
      </x:c>
      <x:c r="E65" s="76" t="n">
        <x:f>'Actuals'!E65</x:f>
        <x:v>9611</x:v>
      </x:c>
      <x:c r="F65" s="76" t="n">
        <x:f>'Actuals'!F65</x:f>
        <x:v>10734</x:v>
      </x:c>
      <x:c r="G65" s="76" t="n">
        <x:f>'Actuals'!G65</x:f>
        <x:v>11974</x:v>
      </x:c>
      <x:c r="H65" s="76" t="n">
        <x:f>'Actuals'!H65</x:f>
        <x:v>12405</x:v>
      </x:c>
      <x:c r="I65" s="13" t="n">
        <x:f>'Funding'!I19</x:f>
        <x:v>14781.79119</x:v>
      </x:c>
      <x:c r="J65" s="13" t="n">
        <x:f>'Funding'!J19</x:f>
        <x:v>17106.2376696</x:v>
      </x:c>
      <x:c r="K65" s="13" t="n">
        <x:f>'Funding'!K19</x:f>
        <x:v>19442.99877079</x:v>
      </x:c>
      <x:c r="L65" s="13" t="n">
        <x:f>'Funding'!L19</x:f>
        <x:v>21628.24447186384</x:v>
      </x:c>
      <x:c r="M65" s="13" t="n">
        <x:f>'Funding'!M19</x:f>
        <x:v>23484.52475909076</x:v>
      </x:c>
      <x:c r="N65" s="3"/>
      <x:c r="O65" s="3"/>
      <x:c r="P65" s="3"/>
      <x:c r="Q65" s="3"/>
    </x:row>
    <x:row r="66" ht="20" customHeight="1">
      <x:c r="C66" s="3" t="str">
        <x:v>Deferred tax adjustment</x:v>
      </x:c>
      <x:c r="D66" s="76" t="n">
        <x:f>'Actuals'!D66</x:f>
        <x:v>-5702</x:v>
      </x:c>
      <x:c r="E66" s="76" t="n">
        <x:f>'Actuals'!E66</x:f>
        <x:v>-6059</x:v>
      </x:c>
      <x:c r="F66" s="76" t="n">
        <x:f>'Actuals'!F66</x:f>
        <x:v>-4738</x:v>
      </x:c>
      <x:c r="G66" s="76" t="n">
        <x:f>'Actuals'!G66</x:f>
        <x:v>-7056</x:v>
      </x:c>
      <x:c r="H66" s="76" t="n">
        <x:f>'Actuals'!H66</x:f>
        <x:v>14189</x:v>
      </x:c>
      <x:c r="I66" s="5" t="n">
        <x:f>0</x:f>
        <x:v>0</x:v>
      </x:c>
      <x:c r="J66" s="5" t="n">
        <x:f>0</x:f>
        <x:v>0</x:v>
      </x:c>
      <x:c r="K66" s="5" t="n">
        <x:f>0</x:f>
        <x:v>0</x:v>
      </x:c>
      <x:c r="L66" s="5" t="n">
        <x:f>0</x:f>
        <x:v>0</x:v>
      </x:c>
      <x:c r="M66" s="5" t="n">
        <x:f>0</x:f>
        <x:v>0</x:v>
      </x:c>
      <x:c r="N66" s="3"/>
      <x:c r="O66" s="3"/>
      <x:c r="P66" s="3"/>
      <x:c r="Q66" s="3"/>
    </x:row>
    <x:row r="67" ht="20" customHeight="1">
      <x:c r="C67" s="3" t="str">
        <x:v>Other noncash adjustments / ROU amortization</x:v>
      </x:c>
      <x:c r="D67" s="76" t="n">
        <x:f>'Actuals'!D67</x:f>
        <x:v>-409</x:v>
      </x:c>
      <x:c r="E67" s="76" t="n">
        <x:f>'Actuals'!E67</x:f>
        <x:v>196</x:v>
      </x:c>
      <x:c r="F67" s="76" t="n">
        <x:f>'Actuals'!F67</x:f>
        <x:v>1634</x:v>
      </x:c>
      <x:c r="G67" s="76" t="n">
        <x:f>'Actuals'!G67</x:f>
        <x:v>5329</x:v>
      </x:c>
      <x:c r="H67" s="76" t="n">
        <x:f>'Actuals'!H67</x:f>
        <x:v>-11047</x:v>
      </x:c>
      <x:c r="I67" s="13" t="n">
        <x:f>'Capital'!I49</x:f>
        <x:v>5028.2696750000005</x:v>
      </x:c>
      <x:c r="J67" s="13" t="n">
        <x:f>'Capital'!J49</x:f>
        <x:v>6376.9275756666675</x:v>
      </x:c>
      <x:c r="K67" s="13" t="n">
        <x:f>'Capital'!K49</x:f>
        <x:v>7890.825111040555</x:v>
      </x:c>
      <x:c r="L67" s="13" t="n">
        <x:f>'Capital'!L49</x:f>
        <x:v>9289.73329695163</x:v>
      </x:c>
      <x:c r="M67" s="13" t="n">
        <x:f>'Capital'!M49</x:f>
        <x:v>10549.313378365425</x:v>
      </x:c>
      <x:c r="N67" s="3"/>
      <x:c r="O67" s="36" t="str">
        <x:v>Forecast: add back operating ROU amortization, then deduct matching operating lease principal in row 76.</x:v>
      </x:c>
      <x:c r="P67" s="3"/>
      <x:c r="Q67" s="3"/>
    </x:row>
    <x:row r="68" ht="20" customHeight="1">
      <x:c r="C68" s="3" t="str">
        <x:v>Change in accounts receivable</x:v>
      </x:c>
      <x:c r="D68" s="76" t="n">
        <x:f>'Actuals'!D68</x:f>
        <x:v>-6834</x:v>
      </x:c>
      <x:c r="E68" s="76" t="n">
        <x:f>'Actuals'!E68</x:f>
        <x:v>-4087</x:v>
      </x:c>
      <x:c r="F68" s="76" t="n">
        <x:f>'Actuals'!F68</x:f>
        <x:v>-7191</x:v>
      </x:c>
      <x:c r="G68" s="76" t="n">
        <x:f>'Actuals'!G68</x:f>
        <x:v>-10581</x:v>
      </x:c>
      <x:c r="H68" s="76" t="n">
        <x:f>'Actuals'!H68</x:f>
        <x:v>-12737</x:v>
      </x:c>
      <x:c r="I68" s="5" t="n">
        <x:f>H27-I27</x:f>
        <x:v>-16492.297560322942</x:v>
      </x:c>
      <x:c r="J68" s="5" t="n">
        <x:f>I27-J27</x:f>
        <x:v>-18441.216304212576</x:v>
      </x:c>
      <x:c r="K68" s="5" t="n">
        <x:f>J27-K27</x:f>
        <x:v>-19580.75229176419</x:v>
      </x:c>
      <x:c r="L68" s="5" t="n">
        <x:f>K27-L27</x:f>
        <x:v>-19646.46054005</x:v>
      </x:c>
      <x:c r="M68" s="5" t="n">
        <x:f>L27-M27</x:f>
        <x:v>-18407.590031561907</x:v>
      </x:c>
      <x:c r="N68" s="3"/>
      <x:c r="O68" s="3"/>
      <x:c r="P68" s="3"/>
      <x:c r="Q68" s="3"/>
    </x:row>
    <x:row r="69" ht="20" customHeight="1">
      <x:c r="C69" s="3" t="str">
        <x:v>Change in inventories</x:v>
      </x:c>
      <x:c r="D69" s="76" t="n">
        <x:f>'Actuals'!D69</x:f>
        <x:v>-1123</x:v>
      </x:c>
      <x:c r="E69" s="76" t="n">
        <x:f>'Actuals'!E69</x:f>
        <x:v>1242</x:v>
      </x:c>
      <x:c r="F69" s="76" t="n">
        <x:f>'Actuals'!F69</x:f>
        <x:v>1284</x:v>
      </x:c>
      <x:c r="G69" s="76" t="n">
        <x:f>'Actuals'!G69</x:f>
        <x:v>309</x:v>
      </x:c>
      <x:c r="H69" s="76" t="n">
        <x:f>'Actuals'!H69</x:f>
        <x:v>-461</x:v>
      </x:c>
      <x:c r="I69" s="5" t="n">
        <x:f>H28-I28</x:f>
        <x:v>-377.4891572969191</x:v>
      </x:c>
      <x:c r="J69" s="5" t="n">
        <x:f>I28-J28</x:f>
        <x:v>-430.3832787068627</x:v>
      </x:c>
      <x:c r="K69" s="5" t="n">
        <x:f>J28-K28</x:f>
        <x:v>-434.0548899402452</x:v>
      </x:c>
      <x:c r="L69" s="5" t="n">
        <x:f>K28-L28</x:f>
        <x:v>-409.67629002306603</x:v>
      </x:c>
      <x:c r="M69" s="5" t="n">
        <x:f>L28-M28</x:f>
        <x:v>-430.4091780888293</x:v>
      </x:c>
      <x:c r="N69" s="3"/>
      <x:c r="O69" s="3"/>
      <x:c r="P69" s="3"/>
      <x:c r="Q69" s="3"/>
    </x:row>
    <x:row r="70" ht="20" customHeight="1">
      <x:c r="C70" s="3" t="str">
        <x:v>Change in other current assets</x:v>
      </x:c>
      <x:c r="D70" s="76" t="n">
        <x:f>'Actuals'!D70</x:f>
        <x:v>-709</x:v>
      </x:c>
      <x:c r="E70" s="76" t="n">
        <x:f>'Actuals'!E70</x:f>
        <x:v>-1991</x:v>
      </x:c>
      <x:c r="F70" s="76" t="n">
        <x:f>'Actuals'!F70</x:f>
        <x:v>-1648</x:v>
      </x:c>
      <x:c r="G70" s="76" t="n">
        <x:f>'Actuals'!G70</x:f>
        <x:v>-3044</x:v>
      </x:c>
      <x:c r="H70" s="76" t="n">
        <x:f>'Actuals'!H70</x:f>
        <x:v>-2627</x:v>
      </x:c>
      <x:c r="I70" s="5" t="n">
        <x:f>H29-I29</x:f>
        <x:v>-9909.32671801687</x:v>
      </x:c>
      <x:c r="J70" s="5" t="n">
        <x:f>I29-J29</x:f>
        <x:v>-11080.3262412447</x:v>
      </x:c>
      <x:c r="K70" s="5" t="n">
        <x:f>J29-K29</x:f>
        <x:v>-11765.01158398029</x:v>
      </x:c>
      <x:c r="L70" s="5" t="n">
        <x:f>K29-L29</x:f>
        <x:v>-11804.492104990233</x:v>
      </x:c>
      <x:c r="M70" s="5" t="n">
        <x:f>L29-M29</x:f>
        <x:v>-11060.122038598827</x:v>
      </x:c>
      <x:c r="N70" s="3"/>
      <x:c r="O70" s="3"/>
      <x:c r="P70" s="3"/>
      <x:c r="Q70" s="3"/>
    </x:row>
    <x:row r="71" ht="20" customHeight="1">
      <x:c r="C71" s="3" t="str">
        <x:v>Change in other long-term assets</x:v>
      </x:c>
      <x:c r="D71" s="76" t="n">
        <x:f>'Actuals'!D71</x:f>
        <x:v>-2805</x:v>
      </x:c>
      <x:c r="E71" s="76" t="n">
        <x:f>'Actuals'!E71</x:f>
        <x:v>-2833</x:v>
      </x:c>
      <x:c r="F71" s="76" t="n">
        <x:f>'Actuals'!F71</x:f>
        <x:v>-6817</x:v>
      </x:c>
      <x:c r="G71" s="76" t="n">
        <x:f>'Actuals'!G71</x:f>
        <x:v>-2950</x:v>
      </x:c>
      <x:c r="H71" s="76" t="n">
        <x:f>'Actuals'!H71</x:f>
        <x:v>-3964</x:v>
      </x:c>
      <x:c r="I71" s="5" t="n">
        <x:f>H36-I36</x:f>
        <x:v>0</x:v>
      </x:c>
      <x:c r="J71" s="5" t="n">
        <x:f>I36-J36</x:f>
        <x:v>0</x:v>
      </x:c>
      <x:c r="K71" s="5" t="n">
        <x:f>J36-K36</x:f>
        <x:v>0</x:v>
      </x:c>
      <x:c r="L71" s="5" t="n">
        <x:f>K36-L36</x:f>
        <x:v>0</x:v>
      </x:c>
      <x:c r="M71" s="5" t="n">
        <x:f>L36-M36</x:f>
        <x:v>0</x:v>
      </x:c>
      <x:c r="N71" s="3"/>
      <x:c r="O71" s="3"/>
      <x:c r="P71" s="3"/>
      <x:c r="Q71" s="3"/>
    </x:row>
    <x:row r="72" ht="20" customHeight="1">
      <x:c r="C72" s="3" t="str">
        <x:v>Change in trade accounts payable</x:v>
      </x:c>
      <x:c r="D72" s="76" t="n">
        <x:f>'Actuals'!D72</x:f>
        <x:v>2943</x:v>
      </x:c>
      <x:c r="E72" s="76" t="n">
        <x:f>'Actuals'!E72</x:f>
        <x:v>-2721</x:v>
      </x:c>
      <x:c r="F72" s="76" t="n">
        <x:f>'Actuals'!F72</x:f>
        <x:v>3545</x:v>
      </x:c>
      <x:c r="G72" s="76" t="n">
        <x:f>'Actuals'!G72</x:f>
        <x:v>569</x:v>
      </x:c>
      <x:c r="H72" s="76" t="n">
        <x:f>'Actuals'!H72</x:f>
        <x:v>5268</x:v>
      </x:c>
      <x:c r="I72" s="13" t="n">
        <x:f>(I39-'Capital'!I8)-(H39-'Actuals'!H119)</x:f>
        <x:v>4246.685466054674</x:v>
      </x:c>
      <x:c r="J72" s="13" t="n">
        <x:f>(J39-'Capital'!J8)-(I39-'Capital'!I8)</x:f>
        <x:v>4841.734866254159</x:v>
      </x:c>
      <x:c r="K72" s="13" t="n">
        <x:f>(K39-'Capital'!K8)-(J39-'Capital'!J8)</x:f>
        <x:v>4883.039835576881</x:v>
      </x:c>
      <x:c r="L72" s="13" t="n">
        <x:f>(L39-'Capital'!L8)-(K39-'Capital'!K8)</x:f>
        <x:v>4608.784949178589</x:v>
      </x:c>
      <x:c r="M72" s="13" t="n">
        <x:f>(M39-'Capital'!M8)-(L39-'Capital'!L8)</x:f>
        <x:v>4842.026229666473</x:v>
      </x:c>
      <x:c r="N72" s="3"/>
      <x:c r="O72" s="36" t="str">
        <x:v>Forecast excludes changes in capital purchases payable, which are classified with PP&amp;E additions.</x:v>
      </x:c>
      <x:c r="P72" s="3"/>
      <x:c r="Q72" s="3"/>
    </x:row>
    <x:row r="73" ht="20" customHeight="1">
      <x:c r="C73" s="3" t="str">
        <x:v>Change in deferred revenue</x:v>
      </x:c>
      <x:c r="D73" s="76" t="n">
        <x:f>'Actuals'!D73</x:f>
        <x:v>5109</x:v>
      </x:c>
      <x:c r="E73" s="76" t="n">
        <x:f>'Actuals'!E73</x:f>
        <x:v>5535</x:v>
      </x:c>
      <x:c r="F73" s="76" t="n">
        <x:f>'Actuals'!F73</x:f>
        <x:v>5348</x:v>
      </x:c>
      <x:c r="G73" s="76" t="n">
        <x:f>'Actuals'!G73</x:f>
        <x:v>5438</x:v>
      </x:c>
      <x:c r="H73" s="76" t="n">
        <x:f>'Actuals'!H73</x:f>
        <x:v>9361</x:v>
      </x:c>
      <x:c r="I73" s="5" t="n">
        <x:f>SUM(I42,I49)-SUM(H42,H49)</x:f>
        <x:v>15439.25061683527</x:v>
      </x:c>
      <x:c r="J73" s="5" t="n">
        <x:f>SUM(J42,J49)-SUM(I42,I49)</x:f>
        <x:v>17263.7292747483</x:v>
      </x:c>
      <x:c r="K73" s="5" t="n">
        <x:f>SUM(K42,K49)-SUM(J42,J49)</x:f>
        <x:v>18330.50493983444</x:v>
      </x:c>
      <x:c r="L73" s="5" t="n">
        <x:f>SUM(L42,L49)-SUM(K42,K49)</x:f>
        <x:v>18392.017661707636</x:v>
      </x:c>
      <x:c r="M73" s="5" t="n">
        <x:f>SUM(M42,M49)-SUM(L42,L49)</x:f>
        <x:v>17232.25006762959</x:v>
      </x:c>
      <x:c r="N73" s="3"/>
      <x:c r="O73" s="3"/>
      <x:c r="P73" s="3"/>
      <x:c r="Q73" s="3"/>
    </x:row>
    <x:row r="74" ht="20" customHeight="1">
      <x:c r="C74" s="3" t="str">
        <x:v>Change in compensation and other accruals</x:v>
      </x:c>
      <x:c r="D74" s="76" t="n">
        <x:f>'Actuals'!D74</x:f>
        <x:v>2344</x:v>
      </x:c>
      <x:c r="E74" s="76" t="n">
        <x:f>'Actuals'!E74</x:f>
        <x:v>2272</x:v>
      </x:c>
      <x:c r="F74" s="76" t="n">
        <x:f>'Actuals'!F74</x:f>
        <x:v>4867</x:v>
      </x:c>
      <x:c r="G74" s="76" t="n">
        <x:f>'Actuals'!G74</x:f>
        <x:v>5922</x:v>
      </x:c>
      <x:c r="H74" s="76" t="n">
        <x:f>'Actuals'!H74</x:f>
        <x:v>6847</x:v>
      </x:c>
      <x:c r="I74" s="13" t="n">
        <x:f>SUM(I40,I43)-'Capital'!I56-SUM(H40,H43)+'Actuals'!H120</x:f>
        <x:v>6525.465180403757</x:v>
      </x:c>
      <x:c r="J74" s="13" t="n">
        <x:f>SUM(J40,J43)-'Capital'!J56-SUM(I40,I43)+'Capital'!I56</x:f>
        <x:v>7296.588873519986</x:v>
      </x:c>
      <x:c r="K74" s="13" t="n">
        <x:f>SUM(K40,K43)-'Capital'!K56-SUM(J40,J43)+'Capital'!J56</x:f>
        <x:v>7747.466162229271</x:v>
      </x:c>
      <x:c r="L74" s="13" t="n">
        <x:f>SUM(L40,L43)-'Capital'!L56-SUM(K40,K43)+'Capital'!K56</x:f>
        <x:v>7773.464776714977</x:v>
      </x:c>
      <x:c r="M74" s="13" t="n">
        <x:f>SUM(M40,M43)-'Capital'!M56-SUM(L40,L43)+'Capital'!L56</x:f>
        <x:v>7283.2840522525785</x:v>
      </x:c>
      <x:c r="N74" s="3"/>
      <x:c r="O74" s="3"/>
      <x:c r="P74" s="3"/>
      <x:c r="Q74" s="3"/>
    </x:row>
    <x:row r="75" ht="20" customHeight="1">
      <x:c r="C75" s="3" t="str">
        <x:v>Change in income tax liabilities</x:v>
      </x:c>
      <x:c r="D75" s="76" t="n">
        <x:f>'Actuals'!D75</x:f>
        <x:v>696</x:v>
      </x:c>
      <x:c r="E75" s="76" t="n">
        <x:f>'Actuals'!E75</x:f>
        <x:v>-358</x:v>
      </x:c>
      <x:c r="F75" s="76" t="n">
        <x:f>'Actuals'!F75</x:f>
        <x:v>1687</x:v>
      </x:c>
      <x:c r="G75" s="76" t="n">
        <x:f>'Actuals'!G75</x:f>
        <x:v>-38</x:v>
      </x:c>
      <x:c r="H75" s="76" t="n">
        <x:f>'Actuals'!H75</x:f>
        <x:v>-1875</x:v>
      </x:c>
      <x:c r="I75" s="5" t="n">
        <x:f>SUM(I41,I48)-SUM(H41,H48)</x:f>
        <x:v>340.0104921964048</x:v>
      </x:c>
      <x:c r="J75" s="5" t="n">
        <x:f>SUM(J41,J48)-SUM(I41,I48)</x:f>
        <x:v>479.6617176888649</x:v>
      </x:c>
      <x:c r="K75" s="5" t="n">
        <x:f>SUM(K41,K48)-SUM(J41,J48)</x:f>
        <x:v>569.0461083482151</x:v>
      </x:c>
      <x:c r="L75" s="5" t="n">
        <x:f>SUM(L41,L48)-SUM(K41,K48)</x:f>
        <x:v>641.4440975474063</x:v>
      </x:c>
      <x:c r="M75" s="5" t="n">
        <x:f>SUM(M41,M48)-SUM(L41,L48)</x:f>
        <x:v>593.7046982832035</x:v>
      </x:c>
      <x:c r="N75" s="3"/>
      <x:c r="O75" s="3"/>
      <x:c r="P75" s="3"/>
      <x:c r="Q75" s="3"/>
    </x:row>
    <x:row r="76" ht="20" customHeight="1">
      <x:c r="C76" s="3" t="str">
        <x:v>Other liabilities and operating lease principal</x:v>
      </x:c>
      <x:c r="D76" s="76" t="n">
        <x:f>'Actuals'!D76</x:f>
        <x:v>825</x:v>
      </x:c>
      <x:c r="E76" s="76" t="n">
        <x:f>'Actuals'!E76</x:f>
        <x:v>553</x:v>
      </x:c>
      <x:c r="F76" s="76" t="n">
        <x:f>'Actuals'!F76</x:f>
        <x:v>749</x:v>
      </x:c>
      <x:c r="G76" s="76" t="n">
        <x:f>'Actuals'!G76</x:f>
        <x:v>-975</x:v>
      </x:c>
      <x:c r="H76" s="76" t="n">
        <x:f>'Actuals'!H76</x:f>
        <x:v>-4707</x:v>
      </x:c>
      <x:c r="I76" s="13" t="n">
        <x:f>I52-H52-'Capital'!I49</x:f>
        <x:v>-5028.2696750000005</x:v>
      </x:c>
      <x:c r="J76" s="13" t="n">
        <x:f>J52-I52-'Capital'!J49</x:f>
        <x:v>-6376.9275756666675</x:v>
      </x:c>
      <x:c r="K76" s="13" t="n">
        <x:f>K52-J52-'Capital'!K49</x:f>
        <x:v>-7890.825111040555</x:v>
      </x:c>
      <x:c r="L76" s="13" t="n">
        <x:f>L52-K52-'Capital'!L49</x:f>
        <x:v>-9289.73329695163</x:v>
      </x:c>
      <x:c r="M76" s="13" t="n">
        <x:f>M52-L52-'Capital'!M49</x:f>
        <x:v>-10549.313378365425</x:v>
      </x:c>
      <x:c r="N76" s="3"/>
      <x:c r="O76" s="3"/>
      <x:c r="P76" s="3"/>
      <x:c r="Q76" s="3"/>
    </x:row>
    <x:row r="77" ht="20" customHeight="1">
      <x:c r="C77" s="20" t="str">
        <x:v>Cash from operations</x:v>
      </x:c>
      <x:c r="D77" s="103" t="n">
        <x:f>'Actuals'!D77</x:f>
        <x:v>89035</x:v>
      </x:c>
      <x:c r="E77" s="103" t="n">
        <x:f>'Actuals'!E77</x:f>
        <x:v>87582</x:v>
      </x:c>
      <x:c r="F77" s="103" t="n">
        <x:f>'Actuals'!F77</x:f>
        <x:v>118548</x:v>
      </x:c>
      <x:c r="G77" s="103" t="n">
        <x:f>'Actuals'!G77</x:f>
        <x:v>136162</x:v>
      </x:c>
      <x:c r="H77" s="103" t="n">
        <x:f>'Actuals'!H77</x:f>
        <x:v>182935</x:v>
      </x:c>
      <x:c r="I77" s="105" t="n">
        <x:f>SUM(I63:I76)</x:f>
        <x:v>213343.15417774156</x:v>
      </x:c>
      <x:c r="J77" s="105" t="n">
        <x:f>SUM(J63:J76)</x:f>
        <x:v>262955.28351559374</x:v>
      </x:c>
      <x:c r="K77" s="105" t="n">
        <x:f>SUM(K63:K76)</x:f>
        <x:v>317579.7934751659</x:v>
      </x:c>
      <x:c r="L77" s="105" t="n">
        <x:f>SUM(L63:L76)</x:f>
        <x:v>375554.8736512221</x:v>
      </x:c>
      <x:c r="M77" s="105" t="n">
        <x:f>SUM(M63:M76)</x:f>
        <x:v>431642.1837029391</x:v>
      </x:c>
      <x:c r="N77" s="3"/>
      <x:c r="O77" s="3"/>
      <x:c r="P77" s="3"/>
      <x:c r="Q77" s="3"/>
    </x:row>
    <x:row r="78" ht="20" customHeight="1">
      <x:c r="C78" s="3"/>
      <x:c r="D78" s="12"/>
      <x:c r="E78" s="12"/>
      <x:c r="F78" s="12"/>
      <x:c r="G78" s="12"/>
      <x:c r="H78" s="12"/>
      <x:c r="I78" s="13"/>
      <x:c r="J78" s="13"/>
      <x:c r="K78" s="13"/>
      <x:c r="L78" s="13"/>
      <x:c r="M78" s="13"/>
      <x:c r="N78" s="3"/>
      <x:c r="O78" s="3"/>
      <x:c r="P78" s="3"/>
      <x:c r="Q78" s="3"/>
    </x:row>
    <x:row r="79" ht="20" customHeight="1">
      <x:c r="C79" s="3" t="str">
        <x:v>Cash capital expenditure</x:v>
      </x:c>
      <x:c r="D79" s="76" t="n">
        <x:f>'Actuals'!D79</x:f>
        <x:v>-23886</x:v>
      </x:c>
      <x:c r="E79" s="76" t="n">
        <x:f>'Actuals'!E79</x:f>
        <x:v>-28107</x:v>
      </x:c>
      <x:c r="F79" s="76" t="n">
        <x:f>'Actuals'!F79</x:f>
        <x:v>-44477</x:v>
      </x:c>
      <x:c r="G79" s="76" t="n">
        <x:f>'Actuals'!G79</x:f>
        <x:v>-64551</x:v>
      </x:c>
      <x:c r="H79" s="76" t="n">
        <x:f>'Actuals'!H79</x:f>
        <x:v>-115948</x:v>
      </x:c>
      <x:c r="I79" s="13" t="n">
        <x:f>-'Capital'!I7</x:f>
        <x:v>-167793.30539999998</x:v>
      </x:c>
      <x:c r="J79" s="13" t="n">
        <x:f>-'Capital'!J7</x:f>
        <x:v>-175814.109382</x:v>
      </x:c>
      <x:c r="K79" s="13" t="n">
        <x:f>-'Capital'!K7</x:f>
        <x:v>-177764.56019008</x:v>
      </x:c>
      <x:c r="L79" s="13" t="n">
        <x:f>-'Capital'!L7</x:f>
        <x:v>-178114.95447417282</x:v>
      </x:c>
      <x:c r="M79" s="13" t="n">
        <x:f>-'Capital'!M7</x:f>
        <x:v>-177913.06635674817</x:v>
      </x:c>
      <x:c r="N79" s="3"/>
      <x:c r="O79" s="3"/>
      <x:c r="P79" s="3"/>
      <x:c r="Q79" s="3"/>
    </x:row>
    <x:row r="80" ht="20" customHeight="1">
      <x:c r="C80" s="3" t="str">
        <x:v>Acquisitions and intangible purchases</x:v>
      </x:c>
      <x:c r="D80" s="76" t="n">
        <x:f>'Actuals'!D80</x:f>
        <x:v>-22038</x:v>
      </x:c>
      <x:c r="E80" s="76" t="n">
        <x:f>'Actuals'!E80</x:f>
        <x:v>-1670</x:v>
      </x:c>
      <x:c r="F80" s="76" t="n">
        <x:f>'Actuals'!F80</x:f>
        <x:v>-69132</x:v>
      </x:c>
      <x:c r="G80" s="76" t="n">
        <x:f>'Actuals'!G80</x:f>
        <x:v>-5978</x:v>
      </x:c>
      <x:c r="H80" s="76" t="n">
        <x:f>'Actuals'!H80</x:f>
        <x:v>-1743</x:v>
      </x:c>
      <x:c r="I80" s="5" t="n">
        <x:f>0</x:f>
        <x:v>0</x:v>
      </x:c>
      <x:c r="J80" s="5" t="n">
        <x:f>0</x:f>
        <x:v>0</x:v>
      </x:c>
      <x:c r="K80" s="5" t="n">
        <x:f>0</x:f>
        <x:v>0</x:v>
      </x:c>
      <x:c r="L80" s="5" t="n">
        <x:f>0</x:f>
        <x:v>0</x:v>
      </x:c>
      <x:c r="M80" s="5" t="n">
        <x:f>0</x:f>
        <x:v>0</x:v>
      </x:c>
      <x:c r="N80" s="3"/>
      <x:c r="O80" s="3"/>
      <x:c r="P80" s="3"/>
      <x:c r="Q80" s="3"/>
    </x:row>
    <x:row r="81" ht="20" customHeight="1">
      <x:c r="C81" s="3" t="str">
        <x:v>Net investment purchases / proceeds</x:v>
      </x:c>
      <x:c r="D81" s="76" t="n">
        <x:f>'Actuals'!D81</x:f>
        <x:v>18438</x:v>
      </x:c>
      <x:c r="E81" s="76" t="n">
        <x:f>'Actuals'!E81</x:f>
        <x:v>10213</x:v>
      </x:c>
      <x:c r="F81" s="76" t="n">
        <x:f>'Actuals'!F81</x:f>
        <x:v>17937</x:v>
      </x:c>
      <x:c r="G81" s="76" t="n">
        <x:f>'Actuals'!G81</x:f>
        <x:v>-4387</x:v>
      </x:c>
      <x:c r="H81" s="76" t="n">
        <x:f>'Actuals'!H81</x:f>
        <x:v>-1948</x:v>
      </x:c>
      <x:c r="I81" s="5" t="n">
        <x:f>0</x:f>
        <x:v>0</x:v>
      </x:c>
      <x:c r="J81" s="5" t="n">
        <x:f>0</x:f>
        <x:v>0</x:v>
      </x:c>
      <x:c r="K81" s="5" t="n">
        <x:f>0</x:f>
        <x:v>0</x:v>
      </x:c>
      <x:c r="L81" s="5" t="n">
        <x:f>0</x:f>
        <x:v>0</x:v>
      </x:c>
      <x:c r="M81" s="5" t="n">
        <x:f>0</x:f>
        <x:v>0</x:v>
      </x:c>
      <x:c r="N81" s="3"/>
      <x:c r="O81" s="3"/>
      <x:c r="P81" s="3"/>
      <x:c r="Q81" s="3"/>
    </x:row>
    <x:row r="82" ht="20" customHeight="1">
      <x:c r="C82" s="3" t="str">
        <x:v>Other investing cash flow</x:v>
      </x:c>
      <x:c r="D82" s="76" t="n">
        <x:f>'Actuals'!D82</x:f>
        <x:v>-2825</x:v>
      </x:c>
      <x:c r="E82" s="76" t="n">
        <x:f>'Actuals'!E82</x:f>
        <x:v>-3116</x:v>
      </x:c>
      <x:c r="F82" s="76" t="n">
        <x:f>'Actuals'!F82</x:f>
        <x:v>-1298</x:v>
      </x:c>
      <x:c r="G82" s="76" t="n">
        <x:f>'Actuals'!G82</x:f>
        <x:v>2317</x:v>
      </x:c>
      <x:c r="H82" s="76" t="n">
        <x:f>'Actuals'!H82</x:f>
        <x:v>-19861</x:v>
      </x:c>
      <x:c r="I82" s="5" t="n">
        <x:f>0</x:f>
        <x:v>0</x:v>
      </x:c>
      <x:c r="J82" s="5" t="n">
        <x:f>0</x:f>
        <x:v>0</x:v>
      </x:c>
      <x:c r="K82" s="5" t="n">
        <x:f>0</x:f>
        <x:v>0</x:v>
      </x:c>
      <x:c r="L82" s="5" t="n">
        <x:f>0</x:f>
        <x:v>0</x:v>
      </x:c>
      <x:c r="M82" s="5" t="n">
        <x:f>0</x:f>
        <x:v>0</x:v>
      </x:c>
      <x:c r="N82" s="3"/>
      <x:c r="O82" s="3"/>
      <x:c r="P82" s="3"/>
      <x:c r="Q82" s="3"/>
    </x:row>
    <x:row r="83" ht="20" customHeight="1">
      <x:c r="C83" s="20" t="str">
        <x:v>Cash from investing</x:v>
      </x:c>
      <x:c r="D83" s="103" t="n">
        <x:f>'Actuals'!D83</x:f>
        <x:v>-30311</x:v>
      </x:c>
      <x:c r="E83" s="103" t="n">
        <x:f>'Actuals'!E83</x:f>
        <x:v>-22680</x:v>
      </x:c>
      <x:c r="F83" s="103" t="n">
        <x:f>'Actuals'!F83</x:f>
        <x:v>-96970</x:v>
      </x:c>
      <x:c r="G83" s="103" t="n">
        <x:f>'Actuals'!G83</x:f>
        <x:v>-72599</x:v>
      </x:c>
      <x:c r="H83" s="103" t="n">
        <x:f>'Actuals'!H83</x:f>
        <x:v>-139500</x:v>
      </x:c>
      <x:c r="I83" s="105" t="n">
        <x:f>SUM(I79:I82)</x:f>
        <x:v>-167793.30539999998</x:v>
      </x:c>
      <x:c r="J83" s="105" t="n">
        <x:f>SUM(J79:J82)</x:f>
        <x:v>-175814.109382</x:v>
      </x:c>
      <x:c r="K83" s="105" t="n">
        <x:f>SUM(K79:K82)</x:f>
        <x:v>-177764.56019008</x:v>
      </x:c>
      <x:c r="L83" s="105" t="n">
        <x:f>SUM(L79:L82)</x:f>
        <x:v>-178114.95447417282</x:v>
      </x:c>
      <x:c r="M83" s="105" t="n">
        <x:f>SUM(M79:M82)</x:f>
        <x:v>-177913.06635674817</x:v>
      </x:c>
      <x:c r="N83" s="3"/>
      <x:c r="O83" s="3"/>
      <x:c r="P83" s="3"/>
      <x:c r="Q83" s="3"/>
    </x:row>
    <x:row r="84" ht="20" customHeight="1">
      <x:c r="C84" s="3"/>
      <x:c r="D84" s="12"/>
      <x:c r="E84" s="12"/>
      <x:c r="F84" s="12"/>
      <x:c r="G84" s="12"/>
      <x:c r="H84" s="12"/>
      <x:c r="I84" s="13"/>
      <x:c r="J84" s="13"/>
      <x:c r="K84" s="13"/>
      <x:c r="L84" s="13"/>
      <x:c r="M84" s="13"/>
      <x:c r="N84" s="3"/>
      <x:c r="O84" s="3"/>
      <x:c r="P84" s="3"/>
      <x:c r="Q84" s="3"/>
    </x:row>
    <x:row r="85" ht="20" customHeight="1">
      <x:c r="C85" s="3" t="str">
        <x:v>Corporate debt issued</x:v>
      </x:c>
      <x:c r="D85" s="76" t="n">
        <x:f>'Actuals'!D85</x:f>
        <x:v>0</x:v>
      </x:c>
      <x:c r="E85" s="76" t="n">
        <x:f>'Actuals'!E85</x:f>
        <x:v>0</x:v>
      </x:c>
      <x:c r="F85" s="76" t="n">
        <x:f>'Actuals'!F85</x:f>
        <x:v>29645</x:v>
      </x:c>
      <x:c r="G85" s="76" t="n">
        <x:f>'Actuals'!G85</x:f>
        <x:v>-5746</x:v>
      </x:c>
      <x:c r="H85" s="76" t="n">
        <x:f>'Actuals'!H85</x:f>
        <x:v>0</x:v>
      </x:c>
      <x:c r="I85" s="13" t="n">
        <x:f>'Funding'!I9</x:f>
        <x:v>9250</x:v>
      </x:c>
      <x:c r="J85" s="13" t="n">
        <x:f>'Funding'!J9</x:f>
        <x:v>0</x:v>
      </x:c>
      <x:c r="K85" s="13" t="n">
        <x:f>'Funding'!K9</x:f>
        <x:v>2001</x:v>
      </x:c>
      <x:c r="L85" s="13" t="n">
        <x:f>'Funding'!L9</x:f>
        <x:v>0</x:v>
      </x:c>
      <x:c r="M85" s="13" t="n">
        <x:f>'Funding'!M9</x:f>
        <x:v>500</x:v>
      </x:c>
      <x:c r="N85" s="3"/>
      <x:c r="O85" s="3"/>
      <x:c r="P85" s="3"/>
      <x:c r="Q85" s="3"/>
    </x:row>
    <x:row r="86" ht="20" customHeight="1">
      <x:c r="C86" s="3" t="str">
        <x:v>Corporate debt repaid</x:v>
      </x:c>
      <x:c r="D86" s="76" t="n">
        <x:f>'Actuals'!D86</x:f>
        <x:v>-9023</x:v>
      </x:c>
      <x:c r="E86" s="76" t="n">
        <x:f>'Actuals'!E86</x:f>
        <x:v>-2750</x:v>
      </x:c>
      <x:c r="F86" s="76" t="n">
        <x:f>'Actuals'!F86</x:f>
        <x:v>-29070</x:v>
      </x:c>
      <x:c r="G86" s="76" t="n">
        <x:f>'Actuals'!G86</x:f>
        <x:v>-3216</x:v>
      </x:c>
      <x:c r="H86" s="76" t="n">
        <x:f>'Actuals'!H86</x:f>
        <x:v>-3000</x:v>
      </x:c>
      <x:c r="I86" s="13" t="n">
        <x:f>-'Funding'!I8</x:f>
        <x:v>-9250</x:v>
      </x:c>
      <x:c r="J86" s="13" t="n">
        <x:f>-'Funding'!J8</x:f>
        <x:v>0</x:v>
      </x:c>
      <x:c r="K86" s="13" t="n">
        <x:f>-'Funding'!K8</x:f>
        <x:v>-2001</x:v>
      </x:c>
      <x:c r="L86" s="13" t="n">
        <x:f>-'Funding'!L8</x:f>
        <x:v>0</x:v>
      </x:c>
      <x:c r="M86" s="13" t="n">
        <x:f>-'Funding'!M8</x:f>
        <x:v>-500</x:v>
      </x:c>
      <x:c r="N86" s="3"/>
      <x:c r="O86" s="3"/>
      <x:c r="P86" s="3"/>
      <x:c r="Q86" s="3"/>
    </x:row>
    <x:row r="87" ht="20" customHeight="1">
      <x:c r="C87" s="3" t="str">
        <x:v>Proceeds from stock issuance</x:v>
      </x:c>
      <x:c r="D87" s="76" t="n">
        <x:f>'Actuals'!D87</x:f>
        <x:v>1841</x:v>
      </x:c>
      <x:c r="E87" s="76" t="n">
        <x:f>'Actuals'!E87</x:f>
        <x:v>1866</x:v>
      </x:c>
      <x:c r="F87" s="76" t="n">
        <x:f>'Actuals'!F87</x:f>
        <x:v>2002</x:v>
      </x:c>
      <x:c r="G87" s="76" t="n">
        <x:f>'Actuals'!G87</x:f>
        <x:v>2056</x:v>
      </x:c>
      <x:c r="H87" s="76" t="n">
        <x:f>'Actuals'!H87</x:f>
        <x:v>2009</x:v>
      </x:c>
      <x:c r="I87" s="13" t="n">
        <x:f>'Funding'!I21</x:f>
        <x:v>2109</x:v>
      </x:c>
      <x:c r="J87" s="13" t="n">
        <x:f>'Funding'!J21</x:f>
        <x:v>2214</x:v>
      </x:c>
      <x:c r="K87" s="13" t="n">
        <x:f>'Funding'!K21</x:f>
        <x:v>2325</x:v>
      </x:c>
      <x:c r="L87" s="13" t="n">
        <x:f>'Funding'!L21</x:f>
        <x:v>2441</x:v>
      </x:c>
      <x:c r="M87" s="13" t="n">
        <x:f>'Funding'!M21</x:f>
        <x:v>2563</x:v>
      </x:c>
      <x:c r="N87" s="3"/>
      <x:c r="O87" s="3"/>
      <x:c r="P87" s="3"/>
      <x:c r="Q87" s="3"/>
    </x:row>
    <x:row r="88" ht="20" customHeight="1">
      <x:c r="C88" s="3" t="str">
        <x:v>Share repurchases</x:v>
      </x:c>
      <x:c r="D88" s="76" t="n">
        <x:f>'Actuals'!D88</x:f>
        <x:v>-32696</x:v>
      </x:c>
      <x:c r="E88" s="76" t="n">
        <x:f>'Actuals'!E88</x:f>
        <x:v>-22245</x:v>
      </x:c>
      <x:c r="F88" s="76" t="n">
        <x:f>'Actuals'!F88</x:f>
        <x:v>-17254</x:v>
      </x:c>
      <x:c r="G88" s="76" t="n">
        <x:f>'Actuals'!G88</x:f>
        <x:v>-18420</x:v>
      </x:c>
      <x:c r="H88" s="76" t="n">
        <x:f>'Actuals'!H88</x:f>
        <x:v>-22271</x:v>
      </x:c>
      <x:c r="I88" s="13" t="n">
        <x:f>-'Funding'!I25</x:f>
        <x:v>-21902.13757490323</x:v>
      </x:c>
      <x:c r="J88" s="13" t="n">
        <x:f>-'Funding'!J25</x:f>
        <x:v>-25557.52330114223</x:v>
      </x:c>
      <x:c r="K88" s="13" t="n">
        <x:f>-'Funding'!K25</x:f>
        <x:v>-29894.085810342083</x:v>
      </x:c>
      <x:c r="L88" s="13" t="n">
        <x:f>-'Funding'!L25</x:f>
        <x:v>-34782.37585285903</x:v>
      </x:c>
      <x:c r="M88" s="13" t="n">
        <x:f>-'Funding'!M25</x:f>
        <x:v>-39306.85550106226</x:v>
      </x:c>
      <x:c r="N88" s="3"/>
      <x:c r="O88" s="3"/>
      <x:c r="P88" s="3"/>
      <x:c r="Q88" s="3"/>
    </x:row>
    <x:row r="89" ht="20" customHeight="1">
      <x:c r="C89" s="3" t="str">
        <x:v>Dividends paid</x:v>
      </x:c>
      <x:c r="D89" s="76" t="n">
        <x:f>'Actuals'!D89</x:f>
        <x:v>-18135</x:v>
      </x:c>
      <x:c r="E89" s="76" t="n">
        <x:f>'Actuals'!E89</x:f>
        <x:v>-19800</x:v>
      </x:c>
      <x:c r="F89" s="76" t="n">
        <x:f>'Actuals'!F89</x:f>
        <x:v>-21771</x:v>
      </x:c>
      <x:c r="G89" s="76" t="n">
        <x:f>'Actuals'!G89</x:f>
        <x:v>-24082</x:v>
      </x:c>
      <x:c r="H89" s="76" t="n">
        <x:f>'Actuals'!H89</x:f>
        <x:v>-26445</x:v>
      </x:c>
      <x:c r="I89" s="13" t="n">
        <x:f>-'Funding'!I24</x:f>
        <x:v>-29202.85009987098</x:v>
      </x:c>
      <x:c r="J89" s="13" t="n">
        <x:f>-'Funding'!J24</x:f>
        <x:v>-34076.69773485631</x:v>
      </x:c>
      <x:c r="K89" s="13" t="n">
        <x:f>-'Funding'!K24</x:f>
        <x:v>-39858.781080456116</x:v>
      </x:c>
      <x:c r="L89" s="13" t="n">
        <x:f>-'Funding'!L24</x:f>
        <x:v>-46376.50113714538</x:v>
      </x:c>
      <x:c r="M89" s="13" t="n">
        <x:f>-'Funding'!M24</x:f>
        <x:v>-52409.14066808302</x:v>
      </x:c>
      <x:c r="N89" s="3"/>
      <x:c r="O89" s="3"/>
      <x:c r="P89" s="3"/>
      <x:c r="Q89" s="3"/>
    </x:row>
    <x:row r="90" ht="20" customHeight="1">
      <x:c r="C90" s="3" t="str">
        <x:v>Finance lease principal paid</x:v>
      </x:c>
      <x:c r="D90" s="76" t="n">
        <x:f>'Actuals'!D90</x:f>
        <x:v>-896</x:v>
      </x:c>
      <x:c r="E90" s="76" t="n">
        <x:f>'Actuals'!E90</x:f>
        <x:v>-1056</x:v>
      </x:c>
      <x:c r="F90" s="76" t="n">
        <x:f>'Actuals'!F90</x:f>
        <x:v>-1286</x:v>
      </x:c>
      <x:c r="G90" s="76" t="n">
        <x:f>'Actuals'!G90</x:f>
        <x:v>-2283</x:v>
      </x:c>
      <x:c r="H90" s="76" t="n">
        <x:f>'Actuals'!H90</x:f>
        <x:v>-3101</x:v>
      </x:c>
      <x:c r="I90" s="13" t="n">
        <x:f>-'Capital'!I41</x:f>
        <x:v>-4738.897492307693</x:v>
      </x:c>
      <x:c r="J90" s="13" t="n">
        <x:f>-'Capital'!J41</x:f>
        <x:v>-6351.77345773077</x:v>
      </x:c>
      <x:c r="K90" s="13" t="n">
        <x:f>-'Capital'!K41</x:f>
        <x:v>-7208.13655905077</x:v>
      </x:c>
      <x:c r="L90" s="13" t="n">
        <x:f>-'Capital'!L41</x:f>
        <x:v>-8545.409630616597</x:v>
      </x:c>
      <x:c r="M90" s="13" t="n">
        <x:f>-'Capital'!M41</x:f>
        <x:v>-9863.938186954203</x:v>
      </x:c>
      <x:c r="N90" s="3"/>
      <x:c r="O90" s="3"/>
      <x:c r="P90" s="3"/>
      <x:c r="Q90" s="3"/>
    </x:row>
    <x:row r="91" ht="20" customHeight="1">
      <x:c r="C91" s="3" t="str">
        <x:v>Other financing cash flow</x:v>
      </x:c>
      <x:c r="D91" s="76" t="n">
        <x:f>'Actuals'!D91</x:f>
        <x:v>33</x:v>
      </x:c>
      <x:c r="E91" s="76" t="n">
        <x:f>'Actuals'!E91</x:f>
        <x:v>50</x:v>
      </x:c>
      <x:c r="F91" s="76" t="n">
        <x:f>'Actuals'!F91</x:f>
        <x:v>-23</x:v>
      </x:c>
      <x:c r="G91" s="76" t="n">
        <x:f>'Actuals'!G91</x:f>
        <x:v>-8</x:v>
      </x:c>
      <x:c r="H91" s="76" t="n">
        <x:f>'Actuals'!H91</x:f>
        <x:v>262</x:v>
      </x:c>
      <x:c r="I91" s="5" t="n">
        <x:f>0</x:f>
        <x:v>0</x:v>
      </x:c>
      <x:c r="J91" s="5" t="n">
        <x:f>0</x:f>
        <x:v>0</x:v>
      </x:c>
      <x:c r="K91" s="5" t="n">
        <x:f>0</x:f>
        <x:v>0</x:v>
      </x:c>
      <x:c r="L91" s="5" t="n">
        <x:f>0</x:f>
        <x:v>0</x:v>
      </x:c>
      <x:c r="M91" s="5" t="n">
        <x:f>0</x:f>
        <x:v>0</x:v>
      </x:c>
      <x:c r="N91" s="3"/>
      <x:c r="O91" s="3"/>
      <x:c r="P91" s="3"/>
      <x:c r="Q91" s="3"/>
    </x:row>
    <x:row r="92" ht="20" customHeight="1">
      <x:c r="C92" s="20" t="str">
        <x:v>Cash from financing</x:v>
      </x:c>
      <x:c r="D92" s="103" t="n">
        <x:f>'Actuals'!D92</x:f>
        <x:v>-58876</x:v>
      </x:c>
      <x:c r="E92" s="103" t="n">
        <x:f>'Actuals'!E92</x:f>
        <x:v>-43935</x:v>
      </x:c>
      <x:c r="F92" s="103" t="n">
        <x:f>'Actuals'!F92</x:f>
        <x:v>-37757</x:v>
      </x:c>
      <x:c r="G92" s="103" t="n">
        <x:f>'Actuals'!G92</x:f>
        <x:v>-51699</x:v>
      </x:c>
      <x:c r="H92" s="103" t="n">
        <x:f>'Actuals'!H92</x:f>
        <x:v>-52546</x:v>
      </x:c>
      <x:c r="I92" s="105" t="n">
        <x:f>SUM(I85:I91)</x:f>
        <x:v>-53734.8851670819</x:v>
      </x:c>
      <x:c r="J92" s="105" t="n">
        <x:f>SUM(J85:J91)</x:f>
        <x:v>-63771.99449372931</x:v>
      </x:c>
      <x:c r="K92" s="105" t="n">
        <x:f>SUM(K85:K91)</x:f>
        <x:v>-74636.00344984897</x:v>
      </x:c>
      <x:c r="L92" s="105" t="n">
        <x:f>SUM(L85:L91)</x:f>
        <x:v>-87263.28662062102</x:v>
      </x:c>
      <x:c r="M92" s="105" t="n">
        <x:f>SUM(M85:M91)</x:f>
        <x:v>-99016.93435609947</x:v>
      </x:c>
      <x:c r="N92" s="3"/>
      <x:c r="O92" s="3"/>
      <x:c r="P92" s="3"/>
      <x:c r="Q92" s="3"/>
    </x:row>
    <x:row r="93" ht="20" customHeight="1">
      <x:c r="C93" s="3"/>
      <x:c r="D93" s="12"/>
      <x:c r="E93" s="12"/>
      <x:c r="F93" s="12"/>
      <x:c r="G93" s="12"/>
      <x:c r="H93" s="12"/>
      <x:c r="I93" s="13"/>
      <x:c r="J93" s="13"/>
      <x:c r="K93" s="13"/>
      <x:c r="L93" s="13"/>
      <x:c r="M93" s="13"/>
      <x:c r="N93" s="3"/>
      <x:c r="O93" s="3"/>
      <x:c r="P93" s="3"/>
      <x:c r="Q93" s="3"/>
    </x:row>
    <x:row r="94" ht="20" customHeight="1">
      <x:c r="C94" s="3" t="str">
        <x:v>FX effect on cash</x:v>
      </x:c>
      <x:c r="D94" s="76" t="n">
        <x:f>'Actuals'!D94</x:f>
        <x:v>-141</x:v>
      </x:c>
      <x:c r="E94" s="76" t="n">
        <x:f>'Actuals'!E94</x:f>
        <x:v>-194</x:v>
      </x:c>
      <x:c r="F94" s="76" t="n">
        <x:f>'Actuals'!F94</x:f>
        <x:v>-210</x:v>
      </x:c>
      <x:c r="G94" s="76" t="n">
        <x:f>'Actuals'!G94</x:f>
        <x:v>63</x:v>
      </x:c>
      <x:c r="H94" s="76" t="n">
        <x:f>'Actuals'!H94</x:f>
        <x:v>-196</x:v>
      </x:c>
      <x:c r="I94" s="5" t="n">
        <x:f>0</x:f>
        <x:v>0</x:v>
      </x:c>
      <x:c r="J94" s="5" t="n">
        <x:f>0</x:f>
        <x:v>0</x:v>
      </x:c>
      <x:c r="K94" s="5" t="n">
        <x:f>0</x:f>
        <x:v>0</x:v>
      </x:c>
      <x:c r="L94" s="5" t="n">
        <x:f>0</x:f>
        <x:v>0</x:v>
      </x:c>
      <x:c r="M94" s="5" t="n">
        <x:f>0</x:f>
        <x:v>0</x:v>
      </x:c>
      <x:c r="N94" s="3"/>
      <x:c r="O94" s="3"/>
      <x:c r="P94" s="3"/>
      <x:c r="Q94" s="3"/>
    </x:row>
    <x:row r="95" ht="20" customHeight="1">
      <x:c r="C95" s="20" t="str">
        <x:v>Net change in cash</x:v>
      </x:c>
      <x:c r="D95" s="103" t="n">
        <x:f>'Actuals'!D95</x:f>
        <x:v>-293</x:v>
      </x:c>
      <x:c r="E95" s="103" t="n">
        <x:f>'Actuals'!E95</x:f>
        <x:v>20773</x:v>
      </x:c>
      <x:c r="F95" s="103" t="n">
        <x:f>'Actuals'!F95</x:f>
        <x:v>-16389</x:v>
      </x:c>
      <x:c r="G95" s="103" t="n">
        <x:f>'Actuals'!G95</x:f>
        <x:v>11927</x:v>
      </x:c>
      <x:c r="H95" s="103" t="n">
        <x:f>'Actuals'!H95</x:f>
        <x:v>-9307</x:v>
      </x:c>
      <x:c r="I95" s="105" t="n">
        <x:f>SUM(I77,I83,I92,I94)</x:f>
        <x:v>-8185.036389340326</x:v>
      </x:c>
      <x:c r="J95" s="105" t="n">
        <x:f>SUM(J77,J83,J92,J94)</x:f>
        <x:v>23369.17963986443</x:v>
      </x:c>
      <x:c r="K95" s="105" t="n">
        <x:f>SUM(K77,K83,K92,K94)</x:f>
        <x:v>65179.22983523694</x:v>
      </x:c>
      <x:c r="L95" s="105" t="n">
        <x:f>SUM(L77,L83,L92,L94)</x:f>
        <x:v>110176.63255642826</x:v>
      </x:c>
      <x:c r="M95" s="105" t="n">
        <x:f>SUM(M77,M83,M92,M94)</x:f>
        <x:v>154712.18299009145</x:v>
      </x:c>
      <x:c r="N95" s="3"/>
      <x:c r="O95" s="3"/>
      <x:c r="P95" s="3"/>
      <x:c r="Q95" s="3"/>
    </x:row>
    <x:row r="96" ht="20" customHeight="1">
      <x:c r="C96" s="3" t="str">
        <x:v>Beginning cash</x:v>
      </x:c>
      <x:c r="D96" s="76" t="n">
        <x:f>'Actuals'!D96</x:f>
        <x:v>14224</x:v>
      </x:c>
      <x:c r="E96" s="76" t="n">
        <x:f>'Actuals'!E96</x:f>
        <x:v>13931</x:v>
      </x:c>
      <x:c r="F96" s="76" t="n">
        <x:f>'Actuals'!F96</x:f>
        <x:v>34704</x:v>
      </x:c>
      <x:c r="G96" s="76" t="n">
        <x:f>'Actuals'!G96</x:f>
        <x:v>18315</x:v>
      </x:c>
      <x:c r="H96" s="76" t="n">
        <x:f>'Actuals'!H96</x:f>
        <x:v>30242</x:v>
      </x:c>
      <x:c r="I96" s="5" t="n">
        <x:f>H25</x:f>
        <x:v>20935</x:v>
      </x:c>
      <x:c r="J96" s="5" t="n">
        <x:f>I25</x:f>
        <x:v>12749.963610659674</x:v>
      </x:c>
      <x:c r="K96" s="5" t="n">
        <x:f>J25</x:f>
        <x:v>36119.1432505241</x:v>
      </x:c>
      <x:c r="L96" s="5" t="n">
        <x:f>K25</x:f>
        <x:v>101298.37308576104</x:v>
      </x:c>
      <x:c r="M96" s="5" t="n">
        <x:f>L25</x:f>
        <x:v>211475.0056421893</x:v>
      </x:c>
      <x:c r="N96" s="3"/>
      <x:c r="O96" s="3"/>
      <x:c r="P96" s="3"/>
      <x:c r="Q96" s="3"/>
    </x:row>
    <x:row r="97" ht="20" customHeight="1">
      <x:c r="C97" s="20" t="str">
        <x:v>Ending cash</x:v>
      </x:c>
      <x:c r="D97" s="103" t="n">
        <x:f>'Actuals'!D97</x:f>
        <x:v>13931</x:v>
      </x:c>
      <x:c r="E97" s="103" t="n">
        <x:f>'Actuals'!E97</x:f>
        <x:v>34704</x:v>
      </x:c>
      <x:c r="F97" s="103" t="n">
        <x:f>'Actuals'!F97</x:f>
        <x:v>18315</x:v>
      </x:c>
      <x:c r="G97" s="103" t="n">
        <x:f>'Actuals'!G97</x:f>
        <x:v>30242</x:v>
      </x:c>
      <x:c r="H97" s="103" t="n">
        <x:f>'Actuals'!H97</x:f>
        <x:v>20935</x:v>
      </x:c>
      <x:c r="I97" s="105" t="n">
        <x:f>SUM(I95:I96)</x:f>
        <x:v>12749.963610659674</x:v>
      </x:c>
      <x:c r="J97" s="105" t="n">
        <x:f>SUM(J95:J96)</x:f>
        <x:v>36119.1432505241</x:v>
      </x:c>
      <x:c r="K97" s="105" t="n">
        <x:f>SUM(K95:K96)</x:f>
        <x:v>101298.37308576104</x:v>
      </x:c>
      <x:c r="L97" s="105" t="n">
        <x:f>SUM(L95:L96)</x:f>
        <x:v>211475.0056421893</x:v>
      </x:c>
      <x:c r="M97" s="105" t="n">
        <x:f>SUM(M95:M96)</x:f>
        <x:v>366187.18863228074</x:v>
      </x:c>
      <x:c r="N97" s="3"/>
      <x:c r="O97" s="3"/>
      <x:c r="P97" s="3"/>
      <x:c r="Q97" s="3"/>
    </x:row>
    <x:row r="98" ht="20" customHeight="1">
      <x:c r="C98" s="20" t="str">
        <x:v>Operating cash flow less cash capex</x:v>
      </x:c>
      <x:c r="D98" s="103" t="n">
        <x:f>'Actuals'!D98</x:f>
        <x:v>65149</x:v>
      </x:c>
      <x:c r="E98" s="103" t="n">
        <x:f>'Actuals'!E98</x:f>
        <x:v>59475</x:v>
      </x:c>
      <x:c r="F98" s="103" t="n">
        <x:f>'Actuals'!F98</x:f>
        <x:v>74071</x:v>
      </x:c>
      <x:c r="G98" s="103" t="n">
        <x:f>'Actuals'!G98</x:f>
        <x:v>71611</x:v>
      </x:c>
      <x:c r="H98" s="103" t="n">
        <x:f>'Actuals'!H98</x:f>
        <x:v>66987</x:v>
      </x:c>
      <x:c r="I98" s="105" t="n">
        <x:f>SUM(I77,I79)</x:f>
        <x:v>45549.84877774157</x:v>
      </x:c>
      <x:c r="J98" s="105" t="n">
        <x:f>SUM(J77,J79)</x:f>
        <x:v>87141.17413359374</x:v>
      </x:c>
      <x:c r="K98" s="105" t="n">
        <x:f>SUM(K77,K79)</x:f>
        <x:v>139815.2332850859</x:v>
      </x:c>
      <x:c r="L98" s="105" t="n">
        <x:f>SUM(L77,L79)</x:f>
        <x:v>197439.91917704928</x:v>
      </x:c>
      <x:c r="M98" s="105" t="n">
        <x:f>SUM(M77,M79)</x:f>
        <x:v>253729.1173461909</x:v>
      </x:c>
      <x:c r="N98" s="3"/>
      <x:c r="O98" s="3"/>
      <x:c r="P98" s="3"/>
      <x:c r="Q98" s="3"/>
    </x:row>
    <x:row r="99" ht="20" customHeight="1">
      <x:c r="C99" s="3"/>
      <x:c r="D99" s="12"/>
      <x:c r="E99" s="12"/>
      <x:c r="F99" s="12"/>
      <x:c r="G99" s="12"/>
      <x:c r="H99" s="12"/>
      <x:c r="I99" s="13"/>
      <x:c r="J99" s="13"/>
      <x:c r="K99" s="13"/>
      <x:c r="L99" s="13"/>
      <x:c r="M99" s="13"/>
      <x:c r="N99" s="3"/>
      <x:c r="O99" s="3"/>
      <x:c r="P99" s="3"/>
      <x:c r="Q99" s="3"/>
    </x:row>
    <x:row r="100" ht="20" customHeight="1">
      <x:c r="C100" s="3"/>
      <x:c r="D100" s="12"/>
      <x:c r="E100" s="12"/>
      <x:c r="F100" s="12"/>
      <x:c r="G100" s="12"/>
      <x:c r="H100" s="12"/>
      <x:c r="I100" s="13"/>
      <x:c r="J100" s="13"/>
      <x:c r="K100" s="13"/>
      <x:c r="L100" s="13"/>
      <x:c r="M100" s="13"/>
      <x:c r="N100" s="3"/>
      <x:c r="O100" s="3"/>
      <x:c r="P100" s="3"/>
      <x:c r="Q100" s="3"/>
    </x:row>
    <x:row r="101" ht="20" customHeight="1">
      <x:c r="C101" s="3" t="str">
        <x:v>Operating working capital, excluding capex AP</x:v>
      </x:c>
      <x:c r="D101" s="12"/>
      <x:c r="E101" s="12"/>
      <x:c r="F101" s="12"/>
      <x:c r="G101" s="12"/>
      <x:c r="H101" s="76" t="n">
        <x:f>SUM(H27:H29)-(H39-'Actuals'!H119)-SUM(H40:H42)-H49-(H43-'Actuals'!H120)</x:f>
        <x:v>4905</x:v>
      </x:c>
      <x:c r="I101" s="13" t="n">
        <x:f>SUM(I27:I29)-(I39-'Capital'!I8)-SUM(I40:I42)-I49-(I43-'Capital'!I56)</x:f>
        <x:v>5132.701680146631</x:v>
      </x:c>
      <x:c r="J101" s="13" t="n">
        <x:f>SUM(J27:J29)-(J39-'Capital'!J8)-SUM(J40:J42)-J49-(J43-'Capital'!J56)</x:f>
        <x:v>5202.912772099451</x:v>
      </x:c>
      <x:c r="K101" s="13" t="n">
        <x:f>SUM(K27:K29)-(K39-'Capital'!K8)-SUM(K40:K42)-K49-(K43-'Capital'!K56)</x:f>
        <x:v>5452.67449179538</x:v>
      </x:c>
      <x:c r="L101" s="13" t="n">
        <x:f>SUM(L27:L29)-(L39-'Capital'!L8)-SUM(L40:L42)-L49-(L43-'Capital'!L56)</x:f>
        <x:v>5897.591941710081</x:v>
      </x:c>
      <x:c r="M101" s="13" t="n">
        <x:f>SUM(M27:M29)-(M39-'Capital'!M8)-SUM(M40:M42)-M49-(M43-'Capital'!M56)</x:f>
        <x:v>5844.448142127767</x:v>
      </x:c>
      <x:c r="N101" s="3"/>
      <x:c r="O101" s="36" t="str">
        <x:v>Includes current operating tax timing. Excludes cash, investments, capital creditors and both types of leases.</x:v>
      </x:c>
      <x:c r="P101" s="3"/>
      <x:c r="Q101" s="3"/>
    </x:row>
    <x:row r="102" ht="20" customHeight="1">
      <x:c r="C102" s="3"/>
      <x:c r="D102" s="12"/>
      <x:c r="E102" s="12"/>
      <x:c r="F102" s="12"/>
      <x:c r="G102" s="12"/>
      <x:c r="H102" s="12"/>
      <x:c r="I102" s="13"/>
      <x:c r="J102" s="13"/>
      <x:c r="K102" s="13"/>
      <x:c r="L102" s="13"/>
      <x:c r="M102" s="13"/>
      <x:c r="N102" s="3"/>
      <x:c r="O102" s="3"/>
      <x:c r="P102" s="3"/>
      <x:c r="Q102" s="3"/>
    </x:row>
    <x:row r="103" ht="20" customHeight="1">
      <x:c r="C103" s="3"/>
      <x:c r="D103" s="12"/>
      <x:c r="E103" s="12"/>
      <x:c r="F103" s="12"/>
      <x:c r="G103" s="12"/>
      <x:c r="H103" s="12"/>
      <x:c r="I103" s="13"/>
      <x:c r="J103" s="13"/>
      <x:c r="K103" s="13"/>
      <x:c r="L103" s="13"/>
      <x:c r="M103" s="13"/>
      <x:c r="N103" s="3"/>
      <x:c r="O103" s="3"/>
      <x:c r="P103" s="3"/>
      <x:c r="Q103" s="3"/>
    </x:row>
    <x:row r="104" ht="20" customHeight="1">
      <x:c r="C104" s="3"/>
      <x:c r="D104" s="12"/>
      <x:c r="E104" s="12"/>
      <x:c r="F104" s="12"/>
      <x:c r="G104" s="12"/>
      <x:c r="H104" s="12"/>
      <x:c r="I104" s="13"/>
      <x:c r="J104" s="13"/>
      <x:c r="K104" s="13"/>
      <x:c r="L104" s="13"/>
      <x:c r="M104" s="13"/>
      <x:c r="N104" s="3"/>
      <x:c r="O104" s="3"/>
      <x:c r="P104" s="3"/>
      <x:c r="Q104" s="3"/>
    </x:row>
    <x:row r="105" ht="20" customHeight="1">
      <x:c r="C105" s="3"/>
      <x:c r="D105" s="12"/>
      <x:c r="E105" s="12"/>
      <x:c r="F105" s="12"/>
      <x:c r="G105" s="12"/>
      <x:c r="H105" s="12"/>
      <x:c r="I105" s="13"/>
      <x:c r="J105" s="13"/>
      <x:c r="K105" s="13"/>
      <x:c r="L105" s="13"/>
      <x:c r="M105" s="13"/>
      <x:c r="N105" s="3"/>
      <x:c r="O105" s="3"/>
      <x:c r="P105" s="3"/>
      <x:c r="Q105" s="3"/>
    </x:row>
    <x:row r="106" ht="20" customHeight="1">
      <x:c r="C106" s="3"/>
      <x:c r="D106" s="12"/>
      <x:c r="E106" s="12"/>
      <x:c r="F106" s="12"/>
      <x:c r="G106" s="12"/>
      <x:c r="H106" s="12"/>
      <x:c r="I106" s="13"/>
      <x:c r="J106" s="13"/>
      <x:c r="K106" s="13"/>
      <x:c r="L106" s="13"/>
      <x:c r="M106" s="13"/>
      <x:c r="N106" s="3"/>
      <x:c r="O106" s="3"/>
      <x:c r="P106" s="3"/>
      <x:c r="Q106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0" hidden="0" customWidth="1"/>
    <x:col min="16" max="16" width="16" hidden="0" customWidth="1"/>
    <x:col min="17" max="17" width="16" hidden="0" customWidth="1"/>
  </x:cols>
  <x:sheetData>
    <x:row r="1" ht="20" customHeight="1"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C2" s="7" t="str">
        <x:v>Segment revenue and operating profit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3"/>
      <x:c r="O2" s="3"/>
      <x:c r="P2" s="3"/>
      <x:c r="Q2" s="3"/>
    </x:row>
    <x:row r="3" ht="20" customHeight="1">
      <x:c r="C3" s="8" t="str">
        <x:v>USD millions except shares (millions), per-share values and rates</x:v>
      </x:c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3"/>
      <x:c r="O3" s="3"/>
      <x:c r="P3" s="3"/>
      <x:c r="Q3" s="3"/>
    </x:row>
    <x:row r="4" ht="24" customHeight="1">
      <x:c r="C4" s="11"/>
      <x:c r="D4" s="11"/>
      <x:c r="E4" s="11"/>
      <x:c r="F4" s="11"/>
      <x:c r="G4" s="11" t="str">
        <x:v>FY:25 A</x:v>
      </x:c>
      <x:c r="H4" s="11" t="str">
        <x:v>FY:26 A</x:v>
      </x:c>
      <x:c r="I4" s="11" t="str">
        <x:v>FY:27 F</x:v>
      </x:c>
      <x:c r="J4" s="11" t="str">
        <x:v>FY:28 F</x:v>
      </x:c>
      <x:c r="K4" s="11" t="str">
        <x:v>FY:29 F</x:v>
      </x:c>
      <x:c r="L4" s="11" t="str">
        <x:v>FY:30 F</x:v>
      </x:c>
      <x:c r="M4" s="11" t="str">
        <x:v>FY:31 F</x:v>
      </x:c>
      <x:c r="N4" s="3"/>
      <x:c r="O4" s="3"/>
      <x:c r="P4" s="3"/>
      <x:c r="Q4" s="3"/>
    </x:row>
    <x:row r="5" ht="20" customHeight="1">
      <x:c r="C5" s="3"/>
      <x:c r="D5" s="42"/>
      <x:c r="E5" s="42"/>
      <x:c r="F5" s="42"/>
      <x:c r="G5" s="42"/>
      <x:c r="H5" s="12"/>
      <x:c r="I5" s="13"/>
      <x:c r="J5" s="13"/>
      <x:c r="K5" s="13"/>
      <x:c r="L5" s="13"/>
      <x:c r="M5" s="13"/>
      <x:c r="N5" s="3"/>
      <x:c r="O5" s="3"/>
      <x:c r="P5" s="3"/>
      <x:c r="Q5" s="3"/>
    </x:row>
    <x:row r="6" ht="23" customHeight="1">
      <x:c r="C6" s="10" t="str">
        <x:v>AGENTS AND INFRA</x:v>
      </x:c>
      <x:c r="D6" s="84"/>
      <x:c r="E6" s="84"/>
      <x:c r="F6" s="84"/>
      <x:c r="G6" s="84"/>
      <x:c r="H6" s="16"/>
      <x:c r="I6" s="16"/>
      <x:c r="J6" s="16"/>
      <x:c r="K6" s="16"/>
      <x:c r="L6" s="16"/>
      <x:c r="M6" s="16"/>
      <x:c r="N6" s="3"/>
      <x:c r="O6" s="3"/>
      <x:c r="P6" s="3"/>
      <x:c r="Q6" s="3"/>
    </x:row>
    <x:row r="7" ht="20" customHeight="1">
      <x:c r="C7" s="20" t="str">
        <x:v>Revenue</x:v>
      </x:c>
      <x:c r="D7" s="50"/>
      <x:c r="E7" s="50"/>
      <x:c r="F7" s="50"/>
      <x:c r="G7" s="85" t="n">
        <x:v>218783</x:v>
      </x:c>
      <x:c r="H7" s="32" t="n">
        <x:v>268127</x:v>
      </x:c>
      <x:c r="I7" s="22" t="n">
        <x:f>H7*(1+'Assumptions'!I6)</x:f>
        <x:v>335158.75</x:v>
      </x:c>
      <x:c r="J7" s="22" t="n">
        <x:f>I7*(1+'Assumptions'!J6)</x:f>
        <x:v>408893.675</x:v>
      </x:c>
      <x:c r="K7" s="22" t="n">
        <x:f>J7*(1+'Assumptions'!K6)</x:f>
        <x:v>486583.47325</x:v>
      </x:c>
      <x:c r="L7" s="22" t="n">
        <x:f>K7*(1+'Assumptions'!L6)</x:f>
        <x:v>564436.8289699999</x:v>
      </x:c>
      <x:c r="M7" s="22" t="n">
        <x:f>L7*(1+'Assumptions'!M6)</x:f>
        <x:v>637813.6167360998</x:v>
      </x:c>
      <x:c r="N7" s="3"/>
      <x:c r="O7" s="36" t="str">
        <x:v>Source: FY27 segment recast. https://www.sec.gov/Archives/edgar/data/789019/000119312526380280/d291965dex991.htm</x:v>
      </x:c>
      <x:c r="P7" s="3"/>
      <x:c r="Q7" s="3"/>
    </x:row>
    <x:row r="8" ht="20" customHeight="1">
      <x:c r="C8" s="25" t="str">
        <x:v>Revenue growth</x:v>
      </x:c>
      <x:c r="D8" s="82"/>
      <x:c r="E8" s="82"/>
      <x:c r="F8" s="82"/>
      <x:c r="G8" s="82"/>
      <x:c r="H8" s="26" t="n">
        <x:f>H7/G7-1</x:f>
        <x:v>0.2255385473277174</x:v>
      </x:c>
      <x:c r="I8" s="27" t="n">
        <x:f>'Assumptions'!I6</x:f>
        <x:v>0.25</x:v>
      </x:c>
      <x:c r="J8" s="27" t="n">
        <x:f>'Assumptions'!J6</x:f>
        <x:v>0.22</x:v>
      </x:c>
      <x:c r="K8" s="27" t="n">
        <x:f>'Assumptions'!K6</x:f>
        <x:v>0.19</x:v>
      </x:c>
      <x:c r="L8" s="27" t="n">
        <x:f>'Assumptions'!L6</x:f>
        <x:v>0.16</x:v>
      </x:c>
      <x:c r="M8" s="27" t="n">
        <x:f>'Assumptions'!M6</x:f>
        <x:v>0.13</x:v>
      </x:c>
      <x:c r="N8" s="3"/>
      <x:c r="O8" s="3"/>
      <x:c r="P8" s="3"/>
      <x:c r="Q8" s="3"/>
    </x:row>
    <x:row r="9" ht="20" customHeight="1">
      <x:c r="C9" s="3" t="str">
        <x:v>Cash gross profit before D&amp;A / operating rent</x:v>
      </x:c>
      <x:c r="D9" s="42"/>
      <x:c r="E9" s="42"/>
      <x:c r="F9" s="42"/>
      <x:c r="G9" s="42"/>
      <x:c r="H9" s="12" t="n">
        <x:f>H14+H12+H11</x:f>
        <x:v>226805.1668459705</x:v>
      </x:c>
      <x:c r="I9" s="5" t="n">
        <x:f>I7*I10</x:f>
        <x:v>278181.7625</x:v>
      </x:c>
      <x:c r="J9" s="5" t="n">
        <x:f>J7*J10</x:f>
        <x:v>343470.687</x:v>
      </x:c>
      <x:c r="K9" s="5" t="n">
        <x:f>K7*K10</x:f>
        <x:v>413595.95226249995</x:v>
      </x:c>
      <x:c r="L9" s="5" t="n">
        <x:f>L7*L10</x:f>
        <x:v>485415.67291419994</x:v>
      </x:c>
      <x:c r="M9" s="5" t="n">
        <x:f>M7*M10</x:f>
        <x:v>551708.7784767264</x:v>
      </x:c>
      <x:c r="N9" s="3"/>
      <x:c r="O9" s="3"/>
      <x:c r="P9" s="3"/>
      <x:c r="Q9" s="3"/>
    </x:row>
    <x:row r="10" ht="20" customHeight="1">
      <x:c r="C10" s="25" t="str">
        <x:v>Cash gross margin before D&amp;A / operating rent</x:v>
      </x:c>
      <x:c r="D10" s="82"/>
      <x:c r="E10" s="82"/>
      <x:c r="F10" s="82"/>
      <x:c r="G10" s="82"/>
      <x:c r="H10" s="26" t="n">
        <x:f>H9/H7</x:f>
        <x:v>0.8458870865148623</x:v>
      </x:c>
      <x:c r="I10" s="27" t="n">
        <x:f>'Assumptions'!I8</x:f>
        <x:v>0.83</x:v>
      </x:c>
      <x:c r="J10" s="27" t="n">
        <x:f>'Assumptions'!J8</x:f>
        <x:v>0.84</x:v>
      </x:c>
      <x:c r="K10" s="27" t="n">
        <x:f>'Assumptions'!K8</x:f>
        <x:v>0.85</x:v>
      </x:c>
      <x:c r="L10" s="27" t="n">
        <x:f>'Assumptions'!L8</x:f>
        <x:v>0.86</x:v>
      </x:c>
      <x:c r="M10" s="27" t="n">
        <x:f>'Assumptions'!M8</x:f>
        <x:v>0.865</x:v>
      </x:c>
      <x:c r="N10" s="3"/>
      <x:c r="O10" s="36" t="str">
        <x:v>Historical cash margin is an analyst calibration using allocated reported depreciation, amortization and operating rent.</x:v>
      </x:c>
      <x:c r="P10" s="3"/>
      <x:c r="Q10" s="3"/>
    </x:row>
    <x:row r="11" ht="20" customHeight="1">
      <x:c r="C11" s="3" t="str">
        <x:v>D&amp;A and operating rent allocation</x:v>
      </x:c>
      <x:c r="D11" s="42"/>
      <x:c r="E11" s="42"/>
      <x:c r="F11" s="42"/>
      <x:c r="G11" s="42"/>
      <x:c r="H11" s="76" t="n">
        <x:f>'Actuals'!H117*'Actuals'!H137+'Actuals'!H118*'Actuals'!H138+'Actuals'!H136*H7/H27</x:f>
        <x:v>40095.16684597049</x:v>
      </x:c>
      <x:c r="I11" s="13" t="n">
        <x:f>('Capital'!I21+'Capital'!I54)*I7/I27</x:f>
        <x:v>49359.258389534596</x:v>
      </x:c>
      <x:c r="J11" s="13" t="n">
        <x:f>('Capital'!J21+'Capital'!J54)*J7/J27</x:f>
        <x:v>71633.60519558107</x:v>
      </x:c>
      <x:c r="K11" s="13" t="n">
        <x:f>('Capital'!K21+'Capital'!K54)*K7/K27</x:f>
        <x:v>95169.88316510132</x:v>
      </x:c>
      <x:c r="L11" s="13" t="n">
        <x:f>('Capital'!L21+'Capital'!L54)*L7/L27</x:f>
        <x:v>118683.95587144866</x:v>
      </x:c>
      <x:c r="M11" s="13" t="n">
        <x:f>('Capital'!M21+'Capital'!M54)*M7/M27</x:f>
        <x:v>142383.26851943324</x:v>
      </x:c>
      <x:c r="N11" s="3"/>
      <x:c r="O11" s="36" t="str">
        <x:v>Forecast D&amp;A and rent allocated by revenue share. Consolidated totals are independent of that allocation.</x:v>
      </x:c>
      <x:c r="P11" s="3"/>
      <x:c r="Q11" s="3"/>
    </x:row>
    <x:row r="12" ht="20" customHeight="1">
      <x:c r="C12" s="3" t="str">
        <x:v>Operating expenses</x:v>
      </x:c>
      <x:c r="D12" s="42"/>
      <x:c r="E12" s="42"/>
      <x:c r="F12" s="42"/>
      <x:c r="G12" s="86" t="n">
        <x:v>46677</x:v>
      </x:c>
      <x:c r="H12" s="30" t="n">
        <x:v>50345</x:v>
      </x:c>
      <x:c r="I12" s="13" t="n">
        <x:f>I7*'Assumptions'!I10</x:f>
        <x:v>60328.575</x:v>
      </x:c>
      <x:c r="J12" s="13" t="n">
        <x:f>J7*'Assumptions'!J10</x:f>
        <x:v>71556.39312499999</x:v>
      </x:c>
      <x:c r="K12" s="13" t="n">
        <x:f>K7*'Assumptions'!K10</x:f>
        <x:v>82719.1904525</x:v>
      </x:c>
      <x:c r="L12" s="13" t="n">
        <x:f>L7*'Assumptions'!L10</x:f>
        <x:v>93132.07678004999</x:v>
      </x:c>
      <x:c r="M12" s="13" t="n">
        <x:f>M7*'Assumptions'!M10</x:f>
        <x:v>102050.17867777597</x:v>
      </x:c>
      <x:c r="N12" s="3"/>
      <x:c r="O12" s="3"/>
      <x:c r="P12" s="3"/>
      <x:c r="Q12" s="3"/>
    </x:row>
    <x:row r="13" ht="20" customHeight="1">
      <x:c r="C13" s="25" t="str">
        <x:v>Operating expenses / revenue</x:v>
      </x:c>
      <x:c r="D13" s="82"/>
      <x:c r="E13" s="82"/>
      <x:c r="F13" s="82"/>
      <x:c r="G13" s="82" t="n">
        <x:f>G12/G7</x:f>
        <x:v>0.21334838630058095</x:v>
      </x:c>
      <x:c r="H13" s="26" t="n">
        <x:f>H12/H7</x:f>
        <x:v>0.18776549918508767</x:v>
      </x:c>
      <x:c r="I13" s="27" t="n">
        <x:f>'Assumptions'!I10</x:f>
        <x:v>0.18</x:v>
      </x:c>
      <x:c r="J13" s="27" t="n">
        <x:f>'Assumptions'!J10</x:f>
        <x:v>0.175</x:v>
      </x:c>
      <x:c r="K13" s="27" t="n">
        <x:f>'Assumptions'!K10</x:f>
        <x:v>0.17</x:v>
      </x:c>
      <x:c r="L13" s="27" t="n">
        <x:f>'Assumptions'!L10</x:f>
        <x:v>0.165</x:v>
      </x:c>
      <x:c r="M13" s="27" t="n">
        <x:f>'Assumptions'!M10</x:f>
        <x:v>0.16</x:v>
      </x:c>
      <x:c r="N13" s="3"/>
      <x:c r="O13" s="3"/>
      <x:c r="P13" s="3"/>
      <x:c r="Q13" s="3"/>
    </x:row>
    <x:row r="14" ht="20" customHeight="1">
      <x:c r="C14" s="20" t="str">
        <x:v>Operating income</x:v>
      </x:c>
      <x:c r="D14" s="50"/>
      <x:c r="E14" s="50"/>
      <x:c r="F14" s="50"/>
      <x:c r="G14" s="85" t="n">
        <x:v>110814</x:v>
      </x:c>
      <x:c r="H14" s="32" t="n">
        <x:v>136365</x:v>
      </x:c>
      <x:c r="I14" s="70" t="n">
        <x:f>I9-I11-I12</x:f>
        <x:v>168493.9291104654</x:v>
      </x:c>
      <x:c r="J14" s="70" t="n">
        <x:f>J9-J11-J12</x:f>
        <x:v>200280.68867941893</x:v>
      </x:c>
      <x:c r="K14" s="70" t="n">
        <x:f>K9-K11-K12</x:f>
        <x:v>235706.87864489865</x:v>
      </x:c>
      <x:c r="L14" s="70" t="n">
        <x:f>L9-L11-L12</x:f>
        <x:v>273599.64026270126</x:v>
      </x:c>
      <x:c r="M14" s="70" t="n">
        <x:f>M9-M11-M12</x:f>
        <x:v>307275.3312795172</x:v>
      </x:c>
      <x:c r="N14" s="3"/>
      <x:c r="O14" s="3"/>
      <x:c r="P14" s="3"/>
      <x:c r="Q14" s="3"/>
    </x:row>
    <x:row r="15" ht="20" customHeight="1">
      <x:c r="C15" s="3"/>
      <x:c r="D15" s="42"/>
      <x:c r="E15" s="42"/>
      <x:c r="F15" s="42"/>
      <x:c r="G15" s="42"/>
      <x:c r="H15" s="12"/>
      <x:c r="I15" s="13"/>
      <x:c r="J15" s="13"/>
      <x:c r="K15" s="13"/>
      <x:c r="L15" s="13"/>
      <x:c r="M15" s="13"/>
      <x:c r="N15" s="3"/>
      <x:c r="O15" s="3"/>
      <x:c r="P15" s="3"/>
      <x:c r="Q15" s="3"/>
    </x:row>
    <x:row r="16" ht="23" customHeight="1">
      <x:c r="C16" s="10" t="str">
        <x:v>DEVICES AND CONSUMER</x:v>
      </x:c>
      <x:c r="D16" s="84"/>
      <x:c r="E16" s="84"/>
      <x:c r="F16" s="84"/>
      <x:c r="G16" s="84"/>
      <x:c r="H16" s="16"/>
      <x:c r="I16" s="16"/>
      <x:c r="J16" s="16"/>
      <x:c r="K16" s="16"/>
      <x:c r="L16" s="16"/>
      <x:c r="M16" s="16"/>
      <x:c r="N16" s="3"/>
      <x:c r="O16" s="3"/>
      <x:c r="P16" s="3"/>
      <x:c r="Q16" s="3"/>
    </x:row>
    <x:row r="17" ht="20" customHeight="1">
      <x:c r="C17" s="20" t="str">
        <x:v>Revenue</x:v>
      </x:c>
      <x:c r="D17" s="50"/>
      <x:c r="E17" s="50"/>
      <x:c r="F17" s="50"/>
      <x:c r="G17" s="85" t="n">
        <x:v>62941</x:v>
      </x:c>
      <x:c r="H17" s="32" t="n">
        <x:v>63712</x:v>
      </x:c>
      <x:c r="I17" s="22" t="n">
        <x:f>H17*(1+'Assumptions'!I7)</x:f>
        <x:v>64349.12</x:v>
      </x:c>
      <x:c r="J17" s="22" t="n">
        <x:f>I17*(1+'Assumptions'!J7)</x:f>
        <x:v>66279.59360000001</x:v>
      </x:c>
      <x:c r="K17" s="22" t="n">
        <x:f>J17*(1+'Assumptions'!K7)</x:f>
        <x:v>68930.77734400002</x:v>
      </x:c>
      <x:c r="L17" s="22" t="n">
        <x:f>K17*(1+'Assumptions'!L7)</x:f>
        <x:v>71688.00843776001</x:v>
      </x:c>
      <x:c r="M17" s="22" t="n">
        <x:f>L17*(1+'Assumptions'!M7)</x:f>
        <x:v>73838.64869089282</x:v>
      </x:c>
      <x:c r="N17" s="3"/>
      <x:c r="O17" s="3"/>
      <x:c r="P17" s="3"/>
      <x:c r="Q17" s="3"/>
    </x:row>
    <x:row r="18" ht="20" customHeight="1">
      <x:c r="C18" s="25" t="str">
        <x:v>Revenue growth</x:v>
      </x:c>
      <x:c r="D18" s="82"/>
      <x:c r="E18" s="82"/>
      <x:c r="F18" s="82"/>
      <x:c r="G18" s="82"/>
      <x:c r="H18" s="26" t="n">
        <x:f>H17/G17-1</x:f>
        <x:v>0.0122495670548608</x:v>
      </x:c>
      <x:c r="I18" s="27" t="n">
        <x:f>'Assumptions'!I7</x:f>
        <x:v>0.01</x:v>
      </x:c>
      <x:c r="J18" s="27" t="n">
        <x:f>'Assumptions'!J7</x:f>
        <x:v>0.03</x:v>
      </x:c>
      <x:c r="K18" s="27" t="n">
        <x:f>'Assumptions'!K7</x:f>
        <x:v>0.04</x:v>
      </x:c>
      <x:c r="L18" s="27" t="n">
        <x:f>'Assumptions'!L7</x:f>
        <x:v>0.04</x:v>
      </x:c>
      <x:c r="M18" s="27" t="n">
        <x:f>'Assumptions'!M7</x:f>
        <x:v>0.03</x:v>
      </x:c>
      <x:c r="N18" s="3"/>
      <x:c r="O18" s="3"/>
      <x:c r="P18" s="3"/>
      <x:c r="Q18" s="3"/>
    </x:row>
    <x:row r="19" ht="20" customHeight="1">
      <x:c r="C19" s="3" t="str">
        <x:v>Cash gross profit before D&amp;A / operating rent</x:v>
      </x:c>
      <x:c r="D19" s="42"/>
      <x:c r="E19" s="42"/>
      <x:c r="F19" s="42"/>
      <x:c r="G19" s="42"/>
      <x:c r="H19" s="12" t="n">
        <x:f>H24+H22+H21</x:f>
        <x:v>44627.83315402952</x:v>
      </x:c>
      <x:c r="I19" s="5" t="n">
        <x:f>I17*I20</x:f>
        <x:v>45044.384</x:v>
      </x:c>
      <x:c r="J19" s="5" t="n">
        <x:f>J17*J20</x:f>
        <x:v>47058.511456</x:v>
      </x:c>
      <x:c r="K19" s="5" t="n">
        <x:f>K17*K20</x:f>
        <x:v>49630.15968768001</x:v>
      </x:c>
      <x:c r="L19" s="5" t="n">
        <x:f>L17*L20</x:f>
        <x:v>52332.246159564806</x:v>
      </x:c>
      <x:c r="M19" s="5" t="n">
        <x:f>M17*M20</x:f>
        <x:v>53902.213544351755</x:v>
      </x:c>
      <x:c r="N19" s="3"/>
      <x:c r="O19" s="3"/>
      <x:c r="P19" s="3"/>
      <x:c r="Q19" s="3"/>
    </x:row>
    <x:row r="20" ht="20" customHeight="1">
      <x:c r="C20" s="25" t="str">
        <x:v>Cash gross margin before D&amp;A / operating rent</x:v>
      </x:c>
      <x:c r="D20" s="82"/>
      <x:c r="E20" s="82"/>
      <x:c r="F20" s="82"/>
      <x:c r="G20" s="82"/>
      <x:c r="H20" s="26" t="n">
        <x:f>H19/H17</x:f>
        <x:v>0.700461971905285</x:v>
      </x:c>
      <x:c r="I20" s="27" t="n">
        <x:f>'Assumptions'!I9</x:f>
        <x:v>0.7</x:v>
      </x:c>
      <x:c r="J20" s="27" t="n">
        <x:f>'Assumptions'!J9</x:f>
        <x:v>0.71</x:v>
      </x:c>
      <x:c r="K20" s="27" t="n">
        <x:f>'Assumptions'!K9</x:f>
        <x:v>0.72</x:v>
      </x:c>
      <x:c r="L20" s="27" t="n">
        <x:f>'Assumptions'!L9</x:f>
        <x:v>0.73</x:v>
      </x:c>
      <x:c r="M20" s="27" t="n">
        <x:f>'Assumptions'!M9</x:f>
        <x:v>0.73</x:v>
      </x:c>
      <x:c r="N20" s="3"/>
      <x:c r="O20" s="3"/>
      <x:c r="P20" s="3"/>
      <x:c r="Q20" s="3"/>
    </x:row>
    <x:row r="21" ht="20" customHeight="1">
      <x:c r="C21" s="3" t="str">
        <x:v>D&amp;A and operating rent allocation</x:v>
      </x:c>
      <x:c r="D21" s="42"/>
      <x:c r="E21" s="42"/>
      <x:c r="F21" s="42"/>
      <x:c r="G21" s="42"/>
      <x:c r="H21" s="76" t="n">
        <x:f>'Actuals'!H117*(1-'Actuals'!H137)+'Actuals'!H118*(1-'Actuals'!H138)+'Actuals'!H136*H17/H27</x:f>
        <x:v>5872.833154029517</x:v>
      </x:c>
      <x:c r="I21" s="13" t="n">
        <x:f>('Capital'!I21+'Capital'!I54)*I17/I27</x:f>
        <x:v>9476.777321848733</x:v>
      </x:c>
      <x:c r="J21" s="13" t="n">
        <x:f>('Capital'!J21+'Capital'!J54)*J17/J27</x:f>
        <x:v>11611.444565548643</x:v>
      </x:c>
      <x:c r="K21" s="13" t="n">
        <x:f>('Capital'!K21+'Capital'!K54)*K17/K27</x:f>
        <x:v>13482.032142381431</x:v>
      </x:c>
      <x:c r="L21" s="13" t="n">
        <x:f>('Capital'!L21+'Capital'!L54)*L17/L27</x:f>
        <x:v>15073.81516097236</x:v>
      </x:c>
      <x:c r="M21" s="13" t="n">
        <x:f>('Capital'!M21+'Capital'!M54)*M17/M27</x:f>
        <x:v>16483.48023278011</x:v>
      </x:c>
      <x:c r="N21" s="3"/>
      <x:c r="O21" s="3"/>
      <x:c r="P21" s="3"/>
      <x:c r="Q21" s="3"/>
    </x:row>
    <x:row r="22" ht="20" customHeight="1">
      <x:c r="C22" s="3" t="str">
        <x:v>Operating expenses</x:v>
      </x:c>
      <x:c r="D22" s="42"/>
      <x:c r="E22" s="42"/>
      <x:c r="F22" s="42"/>
      <x:c r="G22" s="86" t="n">
        <x:v>18688</x:v>
      </x:c>
      <x:c r="H22" s="30" t="n">
        <x:v>19883</x:v>
      </x:c>
      <x:c r="I22" s="13" t="n">
        <x:f>I17*'Assumptions'!I11</x:f>
        <x:v>19948.2272</x:v>
      </x:c>
      <x:c r="J22" s="13" t="n">
        <x:f>J17*'Assumptions'!J11</x:f>
        <x:v>20215.276048000003</x:v>
      </x:c>
      <x:c r="K22" s="13" t="n">
        <x:f>K17*'Assumptions'!K11</x:f>
        <x:v>20679.233203200005</x:v>
      </x:c>
      <x:c r="L22" s="13" t="n">
        <x:f>L17*'Assumptions'!L11</x:f>
        <x:v>21147.9624891392</x:v>
      </x:c>
      <x:c r="M22" s="13" t="n">
        <x:f>M17*'Assumptions'!M11</x:f>
        <x:v>21413.208120358915</x:v>
      </x:c>
      <x:c r="N22" s="3"/>
      <x:c r="O22" s="3"/>
      <x:c r="P22" s="3"/>
      <x:c r="Q22" s="3"/>
    </x:row>
    <x:row r="23" ht="20" customHeight="1">
      <x:c r="C23" s="25" t="str">
        <x:v>Operating expenses / revenue</x:v>
      </x:c>
      <x:c r="D23" s="82"/>
      <x:c r="E23" s="82"/>
      <x:c r="F23" s="82"/>
      <x:c r="G23" s="82" t="n">
        <x:f>G22/G17</x:f>
        <x:v>0.29691298199901495</x:v>
      </x:c>
      <x:c r="H23" s="26" t="n">
        <x:f>H22/H17</x:f>
        <x:v>0.3120762179809141</x:v>
      </x:c>
      <x:c r="I23" s="27" t="n">
        <x:f>'Assumptions'!I11</x:f>
        <x:v>0.31</x:v>
      </x:c>
      <x:c r="J23" s="27" t="n">
        <x:f>'Assumptions'!J11</x:f>
        <x:v>0.305</x:v>
      </x:c>
      <x:c r="K23" s="27" t="n">
        <x:f>'Assumptions'!K11</x:f>
        <x:v>0.3</x:v>
      </x:c>
      <x:c r="L23" s="27" t="n">
        <x:f>'Assumptions'!L11</x:f>
        <x:v>0.295</x:v>
      </x:c>
      <x:c r="M23" s="27" t="n">
        <x:f>'Assumptions'!M11</x:f>
        <x:v>0.29</x:v>
      </x:c>
      <x:c r="N23" s="3"/>
      <x:c r="O23" s="3"/>
      <x:c r="P23" s="3"/>
      <x:c r="Q23" s="3"/>
    </x:row>
    <x:row r="24" ht="20" customHeight="1">
      <x:c r="C24" s="20" t="str">
        <x:v>Operating income</x:v>
      </x:c>
      <x:c r="D24" s="50"/>
      <x:c r="E24" s="50"/>
      <x:c r="F24" s="50"/>
      <x:c r="G24" s="85" t="n">
        <x:v>17714</x:v>
      </x:c>
      <x:c r="H24" s="32" t="n">
        <x:v>18872</x:v>
      </x:c>
      <x:c r="I24" s="70" t="n">
        <x:f>I19-I21-I22</x:f>
        <x:v>15619.379478151262</x:v>
      </x:c>
      <x:c r="J24" s="70" t="n">
        <x:f>J19-J21-J22</x:f>
        <x:v>15231.790842451355</x:v>
      </x:c>
      <x:c r="K24" s="70" t="n">
        <x:f>K19-K21-K22</x:f>
        <x:v>15468.894342098574</x:v>
      </x:c>
      <x:c r="L24" s="70" t="n">
        <x:f>L19-L21-L22</x:f>
        <x:v>16110.468509453247</x:v>
      </x:c>
      <x:c r="M24" s="70" t="n">
        <x:f>M19-M21-M22</x:f>
        <x:v>16005.525191212731</x:v>
      </x:c>
      <x:c r="N24" s="3"/>
      <x:c r="O24" s="3"/>
      <x:c r="P24" s="3"/>
      <x:c r="Q24" s="3"/>
    </x:row>
    <x:row r="25" ht="20" customHeight="1">
      <x:c r="C25" s="3"/>
      <x:c r="D25" s="42"/>
      <x:c r="E25" s="42"/>
      <x:c r="F25" s="42"/>
      <x:c r="G25" s="42"/>
      <x:c r="H25" s="12"/>
      <x:c r="I25" s="13"/>
      <x:c r="J25" s="13"/>
      <x:c r="K25" s="13"/>
      <x:c r="L25" s="13"/>
      <x:c r="M25" s="13"/>
      <x:c r="N25" s="3"/>
      <x:c r="O25" s="3"/>
      <x:c r="P25" s="3"/>
      <x:c r="Q25" s="3"/>
    </x:row>
    <x:row r="26" ht="23" customHeight="1">
      <x:c r="C26" s="10" t="str">
        <x:v>CONSOLIDATED OPERATING BUILD</x:v>
      </x:c>
      <x:c r="D26" s="84"/>
      <x:c r="E26" s="84"/>
      <x:c r="F26" s="84"/>
      <x:c r="G26" s="84"/>
      <x:c r="H26" s="16"/>
      <x:c r="I26" s="16"/>
      <x:c r="J26" s="16"/>
      <x:c r="K26" s="16"/>
      <x:c r="L26" s="16"/>
      <x:c r="M26" s="16"/>
      <x:c r="N26" s="3"/>
      <x:c r="O26" s="3"/>
      <x:c r="P26" s="3"/>
      <x:c r="Q26" s="3"/>
    </x:row>
    <x:row r="27" ht="20" customHeight="1">
      <x:c r="C27" s="20" t="str">
        <x:v>Revenue</x:v>
      </x:c>
      <x:c r="D27" s="50"/>
      <x:c r="E27" s="50"/>
      <x:c r="F27" s="50"/>
      <x:c r="G27" s="50" t="n">
        <x:f>SUM(G7,G17)</x:f>
        <x:v>281724</x:v>
      </x:c>
      <x:c r="H27" s="21" t="n">
        <x:f>SUM(H7,H17)</x:f>
        <x:v>331839</x:v>
      </x:c>
      <x:c r="I27" s="70" t="n">
        <x:f>SUM(I7,I17)</x:f>
        <x:v>399507.87</x:v>
      </x:c>
      <x:c r="J27" s="70" t="n">
        <x:f>SUM(J7,J17)</x:f>
        <x:v>475173.2686</x:v>
      </x:c>
      <x:c r="K27" s="70" t="n">
        <x:f>SUM(K7,K17)</x:f>
        <x:v>555514.250594</x:v>
      </x:c>
      <x:c r="L27" s="70" t="n">
        <x:f>SUM(L7,L17)</x:f>
        <x:v>636124.83740776</x:v>
      </x:c>
      <x:c r="M27" s="70" t="n">
        <x:f>SUM(M7,M17)</x:f>
        <x:v>711652.2654269927</x:v>
      </x:c>
      <x:c r="N27" s="3"/>
      <x:c r="O27" s="3"/>
      <x:c r="P27" s="3"/>
      <x:c r="Q27" s="3"/>
    </x:row>
    <x:row r="28" ht="20" customHeight="1">
      <x:c r="C28" s="3" t="str">
        <x:v>Cost of revenue, including D&amp;A and rent</x:v>
      </x:c>
      <x:c r="D28" s="42"/>
      <x:c r="E28" s="42"/>
      <x:c r="F28" s="42"/>
      <x:c r="G28" s="42" t="n">
        <x:f>G27-G29</x:f>
        <x:v>87831</x:v>
      </x:c>
      <x:c r="H28" s="12" t="n">
        <x:f>H27-H29</x:f>
        <x:v>106374</x:v>
      </x:c>
      <x:c r="I28" s="13" t="n">
        <x:f>I27-SUM(I9,I19)+'Capital'!I21+'Capital'!I54</x:f>
        <x:v>135117.7592113833</x:v>
      </x:c>
      <x:c r="J28" s="13" t="n">
        <x:f>J27-SUM(J9,J19)+'Capital'!J21+'Capital'!J54</x:f>
        <x:v>167889.11990512977</x:v>
      </x:c>
      <x:c r="K28" s="13" t="n">
        <x:f>K27-SUM(K9,K19)+'Capital'!K21+'Capital'!K54</x:f>
        <x:v>200940.05395130275</x:v>
      </x:c>
      <x:c r="L28" s="13" t="n">
        <x:f>L27-SUM(L9,L19)+'Capital'!L21+'Capital'!L54</x:f>
        <x:v>232134.6893664163</x:v>
      </x:c>
      <x:c r="M28" s="13" t="n">
        <x:f>M27-SUM(M9,M19)+'Capital'!M21+'Capital'!M54</x:f>
        <x:v>264908.0221581279</x:v>
      </x:c>
      <x:c r="N28" s="3"/>
      <x:c r="O28" s="3"/>
      <x:c r="P28" s="3"/>
      <x:c r="Q28" s="3"/>
    </x:row>
    <x:row r="29" ht="20" customHeight="1">
      <x:c r="C29" s="20" t="str">
        <x:v>Gross profit</x:v>
      </x:c>
      <x:c r="D29" s="50"/>
      <x:c r="E29" s="50"/>
      <x:c r="F29" s="50"/>
      <x:c r="G29" s="50" t="n">
        <x:f>G31+G30</x:f>
        <x:v>193893</x:v>
      </x:c>
      <x:c r="H29" s="21" t="n">
        <x:f>H31+H30</x:f>
        <x:v>225465</x:v>
      </x:c>
      <x:c r="I29" s="70" t="n">
        <x:f>I27-I28</x:f>
        <x:v>264390.1107886167</x:v>
      </x:c>
      <x:c r="J29" s="70" t="n">
        <x:f>J27-J28</x:f>
        <x:v>307284.14869487024</x:v>
      </x:c>
      <x:c r="K29" s="70" t="n">
        <x:f>K27-K28</x:f>
        <x:v>354574.1966426972</x:v>
      </x:c>
      <x:c r="L29" s="70" t="n">
        <x:f>L27-L28</x:f>
        <x:v>403990.14804134367</x:v>
      </x:c>
      <x:c r="M29" s="70" t="n">
        <x:f>M27-M28</x:f>
        <x:v>446744.24326886475</x:v>
      </x:c>
      <x:c r="N29" s="3"/>
      <x:c r="O29" s="3"/>
      <x:c r="P29" s="3"/>
      <x:c r="Q29" s="3"/>
    </x:row>
    <x:row r="30" ht="20" customHeight="1">
      <x:c r="C30" s="3" t="str">
        <x:v>Operating expenses</x:v>
      </x:c>
      <x:c r="D30" s="42"/>
      <x:c r="E30" s="42"/>
      <x:c r="F30" s="42"/>
      <x:c r="G30" s="42" t="n">
        <x:f>SUM(G12,G22)</x:f>
        <x:v>65365</x:v>
      </x:c>
      <x:c r="H30" s="12" t="n">
        <x:f>SUM(H12,H22)</x:f>
        <x:v>70228</x:v>
      </x:c>
      <x:c r="I30" s="5" t="n">
        <x:f>SUM(I12,I22)</x:f>
        <x:v>80276.8022</x:v>
      </x:c>
      <x:c r="J30" s="5" t="n">
        <x:f>SUM(J12,J22)</x:f>
        <x:v>91771.66917299999</x:v>
      </x:c>
      <x:c r="K30" s="5" t="n">
        <x:f>SUM(K12,K22)</x:f>
        <x:v>103398.4236557</x:v>
      </x:c>
      <x:c r="L30" s="5" t="n">
        <x:f>SUM(L12,L22)</x:f>
        <x:v>114280.03926918919</x:v>
      </x:c>
      <x:c r="M30" s="5" t="n">
        <x:f>SUM(M12,M22)</x:f>
        <x:v>123463.38679813489</x:v>
      </x:c>
      <x:c r="N30" s="3"/>
      <x:c r="O30" s="3"/>
      <x:c r="P30" s="3"/>
      <x:c r="Q30" s="3"/>
    </x:row>
    <x:row r="31" ht="20" customHeight="1">
      <x:c r="C31" s="20" t="str">
        <x:v>Operating income</x:v>
      </x:c>
      <x:c r="D31" s="50"/>
      <x:c r="E31" s="50"/>
      <x:c r="F31" s="50"/>
      <x:c r="G31" s="50" t="n">
        <x:f>SUM(G14,G24)</x:f>
        <x:v>128528</x:v>
      </x:c>
      <x:c r="H31" s="21" t="n">
        <x:f>SUM(H14,H24)</x:f>
        <x:v>155237</x:v>
      </x:c>
      <x:c r="I31" s="70" t="n">
        <x:f>SUM(I14,I24)</x:f>
        <x:v>184113.30858861667</x:v>
      </x:c>
      <x:c r="J31" s="70" t="n">
        <x:f>SUM(J14,J24)</x:f>
        <x:v>215512.4795218703</x:v>
      </x:c>
      <x:c r="K31" s="70" t="n">
        <x:f>SUM(K14,K24)</x:f>
        <x:v>251175.7729869972</x:v>
      </x:c>
      <x:c r="L31" s="70" t="n">
        <x:f>SUM(L14,L24)</x:f>
        <x:v>289710.1087721545</x:v>
      </x:c>
      <x:c r="M31" s="70" t="n">
        <x:f>SUM(M14,M24)</x:f>
        <x:v>323280.8564707299</x:v>
      </x:c>
      <x:c r="N31" s="3"/>
      <x:c r="O31" s="3"/>
      <x:c r="P31" s="3"/>
      <x:c r="Q31" s="3"/>
    </x:row>
    <x:row r="32" ht="20" customHeight="1">
      <x:c r="C32" s="25" t="str">
        <x:v>Operating margin</x:v>
      </x:c>
      <x:c r="D32" s="82"/>
      <x:c r="E32" s="82"/>
      <x:c r="F32" s="82"/>
      <x:c r="G32" s="82" t="n">
        <x:f>G31/G27</x:f>
        <x:v>0.4562195624085985</x:v>
      </x:c>
      <x:c r="H32" s="26" t="n">
        <x:f>H31/H27</x:f>
        <x:v>0.4678081840892722</x:v>
      </x:c>
      <x:c r="I32" s="61" t="n">
        <x:f>I31/I27</x:f>
        <x:v>0.46085026707638244</x:v>
      </x:c>
      <x:c r="J32" s="61" t="n">
        <x:f>J31/J27</x:f>
        <x:v>0.45354504085811337</x:v>
      </x:c>
      <x:c r="K32" s="61" t="n">
        <x:f>K31/K27</x:f>
        <x:v>0.45215000824626933</x:v>
      </x:c>
      <x:c r="L32" s="61" t="n">
        <x:f>L31/L27</x:f>
        <x:v>0.4554296448362832</x:v>
      </x:c>
      <x:c r="M32" s="61" t="n">
        <x:f>M31/M27</x:f>
        <x:v>0.454268007250368</x:v>
      </x:c>
      <x:c r="N32" s="3"/>
      <x:c r="O32" s="3"/>
      <x:c r="P32" s="3"/>
      <x:c r="Q32" s="3"/>
    </x:row>
    <x:row r="33" ht="20" customHeight="1">
      <x:c r="C33" s="3" t="str">
        <x:v>Reported company operating income control</x:v>
      </x:c>
      <x:c r="D33" s="42"/>
      <x:c r="E33" s="42"/>
      <x:c r="F33" s="42"/>
      <x:c r="G33" s="86" t="n">
        <x:v>128528</x:v>
      </x:c>
      <x:c r="H33" s="30" t="n">
        <x:v>155237</x:v>
      </x:c>
      <x:c r="I33" s="13"/>
      <x:c r="J33" s="13"/>
      <x:c r="K33" s="13"/>
      <x:c r="L33" s="13"/>
      <x:c r="M33" s="13"/>
      <x:c r="N33" s="3"/>
      <x:c r="O33" s="3"/>
      <x:c r="P33" s="3"/>
      <x:c r="Q33" s="3"/>
    </x:row>
    <x:row r="34" ht="20" customHeight="1">
      <x:c r="C34" s="3"/>
      <x:c r="D34" s="42"/>
      <x:c r="E34" s="42"/>
      <x:c r="F34" s="42"/>
      <x:c r="G34" s="42"/>
      <x:c r="H34" s="12"/>
      <x:c r="I34" s="13"/>
      <x:c r="J34" s="13"/>
      <x:c r="K34" s="13"/>
      <x:c r="L34" s="13"/>
      <x:c r="M34" s="13"/>
      <x:c r="N34" s="3"/>
      <x:c r="O34" s="3"/>
      <x:c r="P34" s="3"/>
      <x:c r="Q34" s="3"/>
    </x:row>
    <x:row r="35" ht="20" customHeight="1">
      <x:c r="C35" s="3"/>
      <x:c r="D35" s="42"/>
      <x:c r="E35" s="42"/>
      <x:c r="F35" s="42"/>
      <x:c r="G35" s="42"/>
      <x:c r="H35" s="12"/>
      <x:c r="I35" s="13"/>
      <x:c r="J35" s="13"/>
      <x:c r="K35" s="13"/>
      <x:c r="L35" s="13"/>
      <x:c r="M35" s="13"/>
      <x:c r="N35" s="3"/>
      <x:c r="O35" s="3"/>
      <x:c r="P35" s="3"/>
      <x:c r="Q35" s="3"/>
    </x:row>
    <x:row r="36" ht="20" customHeight="1">
      <x:c r="C36" s="3"/>
      <x:c r="D36" s="42"/>
      <x:c r="E36" s="42"/>
      <x:c r="F36" s="42"/>
      <x:c r="G36" s="42"/>
      <x:c r="H36" s="12"/>
      <x:c r="I36" s="13"/>
      <x:c r="J36" s="13"/>
      <x:c r="K36" s="13"/>
      <x:c r="L36" s="13"/>
      <x:c r="M36" s="13"/>
      <x:c r="N36" s="3"/>
      <x:c r="O36" s="3"/>
      <x:c r="P36" s="3"/>
      <x:c r="Q36" s="3"/>
    </x:row>
    <x:row r="37" ht="20" customHeight="1">
      <x:c r="C37" s="3"/>
      <x:c r="D37" s="42"/>
      <x:c r="E37" s="42"/>
      <x:c r="F37" s="42"/>
      <x:c r="G37" s="42"/>
      <x:c r="H37" s="12"/>
      <x:c r="I37" s="13"/>
      <x:c r="J37" s="13"/>
      <x:c r="K37" s="13"/>
      <x:c r="L37" s="13"/>
      <x:c r="M37" s="13"/>
      <x:c r="N37" s="3"/>
      <x:c r="O37" s="3"/>
      <x:c r="P37" s="3"/>
      <x:c r="Q37" s="3"/>
    </x:row>
    <x:row r="38" ht="20" customHeight="1">
      <x:c r="C38" s="3"/>
      <x:c r="D38" s="42"/>
      <x:c r="E38" s="42"/>
      <x:c r="F38" s="42"/>
      <x:c r="G38" s="42"/>
      <x:c r="H38" s="12"/>
      <x:c r="I38" s="13"/>
      <x:c r="J38" s="13"/>
      <x:c r="K38" s="13"/>
      <x:c r="L38" s="13"/>
      <x:c r="M38" s="13"/>
      <x:c r="N38" s="3"/>
      <x:c r="O38" s="3"/>
      <x:c r="P38" s="3"/>
      <x:c r="Q38" s="3"/>
    </x:row>
    <x:row r="39" ht="20" customHeight="1">
      <x:c r="C39" s="3"/>
      <x:c r="D39" s="42"/>
      <x:c r="E39" s="42"/>
      <x:c r="F39" s="42"/>
      <x:c r="G39" s="42"/>
      <x:c r="H39" s="12"/>
      <x:c r="I39" s="13"/>
      <x:c r="J39" s="13"/>
      <x:c r="K39" s="13"/>
      <x:c r="L39" s="13"/>
      <x:c r="M39" s="13"/>
      <x:c r="N39" s="3"/>
      <x:c r="O39" s="3"/>
      <x:c r="P39" s="3"/>
      <x:c r="Q39" s="3"/>
    </x:row>
    <x:row r="40" ht="20" customHeight="1">
      <x:c r="C40" s="3"/>
      <x:c r="D40" s="42"/>
      <x:c r="E40" s="42"/>
      <x:c r="F40" s="42"/>
      <x:c r="G40" s="42"/>
      <x:c r="H40" s="12"/>
      <x:c r="I40" s="13"/>
      <x:c r="J40" s="13"/>
      <x:c r="K40" s="13"/>
      <x:c r="L40" s="13"/>
      <x:c r="M40" s="13"/>
      <x:c r="N40" s="3"/>
      <x:c r="O40" s="3"/>
      <x:c r="P40" s="3"/>
      <x:c r="Q40" s="3"/>
    </x:row>
    <x:row r="41" ht="20" customHeight="1">
      <x:c r="C41" s="3"/>
      <x:c r="D41" s="42"/>
      <x:c r="E41" s="42"/>
      <x:c r="F41" s="42"/>
      <x:c r="G41" s="42"/>
      <x:c r="H41" s="12"/>
      <x:c r="I41" s="13"/>
      <x:c r="J41" s="13"/>
      <x:c r="K41" s="13"/>
      <x:c r="L41" s="13"/>
      <x:c r="M41" s="13"/>
      <x:c r="N41" s="3"/>
      <x:c r="O41" s="3"/>
      <x:c r="P41" s="3"/>
      <x:c r="Q41" s="3"/>
    </x:row>
    <x:row r="42" ht="20" customHeight="1">
      <x:c r="C42" s="3"/>
      <x:c r="D42" s="42"/>
      <x:c r="E42" s="42"/>
      <x:c r="F42" s="42"/>
      <x:c r="G42" s="42"/>
      <x:c r="H42" s="12"/>
      <x:c r="I42" s="13"/>
      <x:c r="J42" s="13"/>
      <x:c r="K42" s="13"/>
      <x:c r="L42" s="13"/>
      <x:c r="M42" s="13"/>
      <x:c r="N42" s="3"/>
      <x:c r="O42" s="3"/>
      <x:c r="P42" s="3"/>
      <x:c r="Q42" s="3"/>
    </x:row>
    <x:row r="43" ht="20" customHeight="1">
      <x:c r="C43" s="3"/>
      <x:c r="D43" s="42"/>
      <x:c r="E43" s="42"/>
      <x:c r="F43" s="42"/>
      <x:c r="G43" s="42"/>
      <x:c r="H43" s="12"/>
      <x:c r="I43" s="13"/>
      <x:c r="J43" s="13"/>
      <x:c r="K43" s="13"/>
      <x:c r="L43" s="13"/>
      <x:c r="M43" s="13"/>
      <x:c r="N43" s="3"/>
      <x:c r="O43" s="3"/>
      <x:c r="P43" s="3"/>
      <x:c r="Q43" s="3"/>
    </x:row>
    <x:row r="44" ht="20" customHeight="1">
      <x:c r="C44" s="3"/>
      <x:c r="D44" s="42"/>
      <x:c r="E44" s="42"/>
      <x:c r="F44" s="42"/>
      <x:c r="G44" s="42"/>
      <x:c r="H44" s="12"/>
      <x:c r="I44" s="13"/>
      <x:c r="J44" s="13"/>
      <x:c r="K44" s="13"/>
      <x:c r="L44" s="13"/>
      <x:c r="M44" s="13"/>
      <x:c r="N44" s="3"/>
      <x:c r="O44" s="3"/>
      <x:c r="P44" s="3"/>
      <x:c r="Q44" s="3"/>
    </x:row>
    <x:row r="45" ht="20" customHeight="1">
      <x:c r="C45" s="3"/>
      <x:c r="D45" s="42"/>
      <x:c r="E45" s="42"/>
      <x:c r="F45" s="42"/>
      <x:c r="G45" s="42"/>
      <x:c r="H45" s="12"/>
      <x:c r="I45" s="13"/>
      <x:c r="J45" s="13"/>
      <x:c r="K45" s="13"/>
      <x:c r="L45" s="13"/>
      <x:c r="M45" s="13"/>
      <x:c r="N45" s="3"/>
      <x:c r="O45" s="3"/>
      <x:c r="P45" s="3"/>
      <x:c r="Q45" s="3"/>
    </x:row>
    <x:row r="46" ht="20" customHeight="1">
      <x:c r="C46" s="3"/>
      <x:c r="D46" s="42"/>
      <x:c r="E46" s="42"/>
      <x:c r="F46" s="42"/>
      <x:c r="G46" s="42"/>
      <x:c r="H46" s="12"/>
      <x:c r="I46" s="13"/>
      <x:c r="J46" s="13"/>
      <x:c r="K46" s="13"/>
      <x:c r="L46" s="13"/>
      <x:c r="M46" s="13"/>
      <x:c r="N46" s="3"/>
      <x:c r="O46" s="3"/>
      <x:c r="P46" s="3"/>
      <x:c r="Q46" s="3"/>
    </x:row>
    <x:row r="47" ht="20" customHeight="1">
      <x:c r="C47" s="3"/>
      <x:c r="D47" s="42"/>
      <x:c r="E47" s="42"/>
      <x:c r="F47" s="42"/>
      <x:c r="G47" s="42"/>
      <x:c r="H47" s="12"/>
      <x:c r="I47" s="13"/>
      <x:c r="J47" s="13"/>
      <x:c r="K47" s="13"/>
      <x:c r="L47" s="13"/>
      <x:c r="M47" s="13"/>
      <x:c r="N47" s="3"/>
      <x:c r="O47" s="3"/>
      <x:c r="P47" s="3"/>
      <x:c r="Q47" s="3"/>
    </x:row>
    <x:row r="48" ht="20" customHeight="1">
      <x:c r="C48" s="3"/>
      <x:c r="D48" s="42"/>
      <x:c r="E48" s="42"/>
      <x:c r="F48" s="42"/>
      <x:c r="G48" s="42"/>
      <x:c r="H48" s="12"/>
      <x:c r="I48" s="13"/>
      <x:c r="J48" s="13"/>
      <x:c r="K48" s="13"/>
      <x:c r="L48" s="13"/>
      <x:c r="M48" s="13"/>
      <x:c r="N48" s="3"/>
      <x:c r="O48" s="3"/>
      <x:c r="P48" s="3"/>
      <x:c r="Q48" s="3"/>
    </x:row>
    <x:row r="49" ht="20" customHeight="1">
      <x:c r="C49" s="3"/>
      <x:c r="D49" s="42"/>
      <x:c r="E49" s="42"/>
      <x:c r="F49" s="42"/>
      <x:c r="G49" s="42"/>
      <x:c r="H49" s="12"/>
      <x:c r="I49" s="13"/>
      <x:c r="J49" s="13"/>
      <x:c r="K49" s="13"/>
      <x:c r="L49" s="13"/>
      <x:c r="M49" s="13"/>
      <x:c r="N49" s="3"/>
      <x:c r="O49" s="3"/>
      <x:c r="P49" s="3"/>
      <x:c r="Q49" s="3"/>
    </x:row>
    <x:row r="50" ht="20" customHeight="1">
      <x:c r="C50" s="3"/>
      <x:c r="D50" s="42"/>
      <x:c r="E50" s="42"/>
      <x:c r="F50" s="42"/>
      <x:c r="G50" s="42"/>
      <x:c r="H50" s="12"/>
      <x:c r="I50" s="13"/>
      <x:c r="J50" s="13"/>
      <x:c r="K50" s="13"/>
      <x:c r="L50" s="13"/>
      <x:c r="M50" s="13"/>
      <x:c r="N50" s="3"/>
      <x:c r="O50" s="3"/>
      <x:c r="P50" s="3"/>
      <x:c r="Q50" s="3"/>
    </x:row>
    <x:row r="51" ht="20" customHeight="1">
      <x:c r="C51" s="3"/>
      <x:c r="D51" s="42"/>
      <x:c r="E51" s="42"/>
      <x:c r="F51" s="42"/>
      <x:c r="G51" s="42"/>
      <x:c r="H51" s="12"/>
      <x:c r="I51" s="13"/>
      <x:c r="J51" s="13"/>
      <x:c r="K51" s="13"/>
      <x:c r="L51" s="13"/>
      <x:c r="M51" s="13"/>
      <x:c r="N51" s="3"/>
      <x:c r="O51" s="3"/>
      <x:c r="P51" s="3"/>
      <x:c r="Q51" s="3"/>
    </x:row>
    <x:row r="52" ht="20" customHeight="1">
      <x:c r="C52" s="3"/>
      <x:c r="D52" s="42"/>
      <x:c r="E52" s="42"/>
      <x:c r="F52" s="42"/>
      <x:c r="G52" s="42"/>
      <x:c r="H52" s="12"/>
      <x:c r="I52" s="13"/>
      <x:c r="J52" s="13"/>
      <x:c r="K52" s="13"/>
      <x:c r="L52" s="13"/>
      <x:c r="M52" s="13"/>
      <x:c r="N52" s="3"/>
      <x:c r="O52" s="3"/>
      <x:c r="P52" s="3"/>
      <x:c r="Q52" s="3"/>
    </x:row>
    <x:row r="53" ht="20" customHeight="1">
      <x:c r="C53" s="3"/>
      <x:c r="D53" s="42"/>
      <x:c r="E53" s="42"/>
      <x:c r="F53" s="42"/>
      <x:c r="G53" s="42"/>
      <x:c r="H53" s="12"/>
      <x:c r="I53" s="13"/>
      <x:c r="J53" s="13"/>
      <x:c r="K53" s="13"/>
      <x:c r="L53" s="13"/>
      <x:c r="M53" s="13"/>
      <x:c r="N53" s="3"/>
      <x:c r="O53" s="3"/>
      <x:c r="P53" s="3"/>
      <x:c r="Q53" s="3"/>
    </x:row>
    <x:row r="54" ht="20" customHeight="1">
      <x:c r="C54" s="3"/>
      <x:c r="D54" s="42"/>
      <x:c r="E54" s="42"/>
      <x:c r="F54" s="42"/>
      <x:c r="G54" s="42"/>
      <x:c r="H54" s="12"/>
      <x:c r="I54" s="13"/>
      <x:c r="J54" s="13"/>
      <x:c r="K54" s="13"/>
      <x:c r="L54" s="13"/>
      <x:c r="M54" s="13"/>
      <x:c r="N54" s="3"/>
      <x:c r="O54" s="3"/>
      <x:c r="P54" s="3"/>
      <x:c r="Q54" s="3"/>
    </x:row>
    <x:row r="55" ht="20" customHeight="1">
      <x:c r="C55" s="3"/>
      <x:c r="D55" s="42"/>
      <x:c r="E55" s="42"/>
      <x:c r="F55" s="42"/>
      <x:c r="G55" s="42"/>
      <x:c r="H55" s="12"/>
      <x:c r="I55" s="13"/>
      <x:c r="J55" s="13"/>
      <x:c r="K55" s="13"/>
      <x:c r="L55" s="13"/>
      <x:c r="M55" s="13"/>
      <x:c r="N55" s="3"/>
      <x:c r="O55" s="3"/>
      <x:c r="P55" s="3"/>
      <x:c r="Q55" s="3"/>
    </x:row>
    <x:row r="56" ht="20" customHeight="1">
      <x:c r="C56" s="3"/>
      <x:c r="D56" s="42"/>
      <x:c r="E56" s="42"/>
      <x:c r="F56" s="42"/>
      <x:c r="G56" s="42"/>
      <x:c r="H56" s="12"/>
      <x:c r="I56" s="13"/>
      <x:c r="J56" s="13"/>
      <x:c r="K56" s="13"/>
      <x:c r="L56" s="13"/>
      <x:c r="M56" s="13"/>
      <x:c r="N56" s="3"/>
      <x:c r="O56" s="3"/>
      <x:c r="P56" s="3"/>
      <x:c r="Q56" s="3"/>
    </x:row>
    <x:row r="57" ht="20" customHeight="1">
      <x:c r="C57" s="3"/>
      <x:c r="D57" s="42"/>
      <x:c r="E57" s="42"/>
      <x:c r="F57" s="42"/>
      <x:c r="G57" s="42"/>
      <x:c r="H57" s="12"/>
      <x:c r="I57" s="13"/>
      <x:c r="J57" s="13"/>
      <x:c r="K57" s="13"/>
      <x:c r="L57" s="13"/>
      <x:c r="M57" s="13"/>
      <x:c r="N57" s="3"/>
      <x:c r="O57" s="3"/>
      <x:c r="P57" s="3"/>
      <x:c r="Q57" s="3"/>
    </x:row>
    <x:row r="58" ht="20" customHeight="1">
      <x:c r="C58" s="3"/>
      <x:c r="D58" s="42"/>
      <x:c r="E58" s="42"/>
      <x:c r="F58" s="42"/>
      <x:c r="G58" s="42"/>
      <x:c r="H58" s="12"/>
      <x:c r="I58" s="13"/>
      <x:c r="J58" s="13"/>
      <x:c r="K58" s="13"/>
      <x:c r="L58" s="13"/>
      <x:c r="M58" s="13"/>
      <x:c r="N58" s="3"/>
      <x:c r="O58" s="3"/>
      <x:c r="P58" s="3"/>
      <x:c r="Q58" s="3"/>
    </x:row>
    <x:row r="59" ht="20" customHeight="1">
      <x:c r="C59" s="3"/>
      <x:c r="D59" s="42"/>
      <x:c r="E59" s="42"/>
      <x:c r="F59" s="42"/>
      <x:c r="G59" s="42"/>
      <x:c r="H59" s="12"/>
      <x:c r="I59" s="13"/>
      <x:c r="J59" s="13"/>
      <x:c r="K59" s="13"/>
      <x:c r="L59" s="13"/>
      <x:c r="M59" s="13"/>
      <x:c r="N59" s="3"/>
      <x:c r="O59" s="3"/>
      <x:c r="P59" s="3"/>
      <x:c r="Q59" s="3"/>
    </x:row>
    <x:row r="60" ht="20" customHeight="1">
      <x:c r="C60" s="3"/>
      <x:c r="D60" s="42"/>
      <x:c r="E60" s="42"/>
      <x:c r="F60" s="42"/>
      <x:c r="G60" s="42"/>
      <x:c r="H60" s="12"/>
      <x:c r="I60" s="13"/>
      <x:c r="J60" s="13"/>
      <x:c r="K60" s="13"/>
      <x:c r="L60" s="13"/>
      <x:c r="M60" s="13"/>
      <x:c r="N60" s="3"/>
      <x:c r="O60" s="3"/>
      <x:c r="P60" s="3"/>
      <x:c r="Q60" s="3"/>
    </x:row>
    <x:row r="61" ht="20" customHeight="1">
      <x:c r="C61" s="3"/>
      <x:c r="D61" s="42"/>
      <x:c r="E61" s="42"/>
      <x:c r="F61" s="42"/>
      <x:c r="G61" s="42"/>
      <x:c r="H61" s="12"/>
      <x:c r="I61" s="13"/>
      <x:c r="J61" s="13"/>
      <x:c r="K61" s="13"/>
      <x:c r="L61" s="13"/>
      <x:c r="M61" s="13"/>
      <x:c r="N61" s="3"/>
      <x:c r="O61" s="3"/>
      <x:c r="P61" s="3"/>
      <x:c r="Q61" s="3"/>
    </x:row>
    <x:row r="62" ht="20" customHeight="1">
      <x:c r="C62" s="3"/>
      <x:c r="D62" s="42"/>
      <x:c r="E62" s="42"/>
      <x:c r="F62" s="42"/>
      <x:c r="G62" s="42"/>
      <x:c r="H62" s="12"/>
      <x:c r="I62" s="13"/>
      <x:c r="J62" s="13"/>
      <x:c r="K62" s="13"/>
      <x:c r="L62" s="13"/>
      <x:c r="M62" s="13"/>
      <x:c r="N62" s="3"/>
      <x:c r="O62" s="3"/>
      <x:c r="P62" s="3"/>
      <x:c r="Q62" s="3"/>
    </x:row>
    <x:row r="63" ht="20" customHeight="1">
      <x:c r="C63" s="3"/>
      <x:c r="D63" s="42"/>
      <x:c r="E63" s="42"/>
      <x:c r="F63" s="42"/>
      <x:c r="G63" s="42"/>
      <x:c r="H63" s="12"/>
      <x:c r="I63" s="13"/>
      <x:c r="J63" s="13"/>
      <x:c r="K63" s="13"/>
      <x:c r="L63" s="13"/>
      <x:c r="M63" s="13"/>
      <x:c r="N63" s="3"/>
      <x:c r="O63" s="3"/>
      <x:c r="P63" s="3"/>
      <x:c r="Q63" s="3"/>
    </x:row>
    <x:row r="64" ht="20" customHeight="1">
      <x:c r="C64" s="3"/>
      <x:c r="D64" s="42"/>
      <x:c r="E64" s="42"/>
      <x:c r="F64" s="42"/>
      <x:c r="G64" s="42"/>
      <x:c r="H64" s="12"/>
      <x:c r="I64" s="13"/>
      <x:c r="J64" s="13"/>
      <x:c r="K64" s="13"/>
      <x:c r="L64" s="13"/>
      <x:c r="M64" s="13"/>
      <x:c r="N64" s="3"/>
      <x:c r="O64" s="3"/>
      <x:c r="P64" s="3"/>
      <x:c r="Q64" s="3"/>
    </x:row>
    <x:row r="65" ht="20" customHeight="1">
      <x:c r="C65" s="3"/>
      <x:c r="D65" s="42"/>
      <x:c r="E65" s="42"/>
      <x:c r="F65" s="42"/>
      <x:c r="G65" s="42"/>
      <x:c r="H65" s="12"/>
      <x:c r="I65" s="13"/>
      <x:c r="J65" s="13"/>
      <x:c r="K65" s="13"/>
      <x:c r="L65" s="13"/>
      <x:c r="M65" s="13"/>
      <x:c r="N65" s="3"/>
      <x:c r="O65" s="3"/>
      <x:c r="P65" s="3"/>
      <x:c r="Q65" s="3"/>
    </x:row>
    <x:row r="66" ht="20" customHeight="1">
      <x:c r="C66" s="3"/>
      <x:c r="D66" s="42"/>
      <x:c r="E66" s="42"/>
      <x:c r="F66" s="42"/>
      <x:c r="G66" s="42"/>
      <x:c r="H66" s="12"/>
      <x:c r="I66" s="13"/>
      <x:c r="J66" s="13"/>
      <x:c r="K66" s="13"/>
      <x:c r="L66" s="13"/>
      <x:c r="M66" s="13"/>
      <x:c r="N66" s="3"/>
      <x:c r="O66" s="3"/>
      <x:c r="P66" s="3"/>
      <x:c r="Q66" s="3"/>
    </x:row>
    <x:row r="67" ht="20" customHeight="1">
      <x:c r="C67" s="3"/>
      <x:c r="D67" s="42"/>
      <x:c r="E67" s="42"/>
      <x:c r="F67" s="42"/>
      <x:c r="G67" s="42"/>
      <x:c r="H67" s="12"/>
      <x:c r="I67" s="13"/>
      <x:c r="J67" s="13"/>
      <x:c r="K67" s="13"/>
      <x:c r="L67" s="13"/>
      <x:c r="M67" s="13"/>
      <x:c r="N67" s="3"/>
      <x:c r="O67" s="3"/>
      <x:c r="P67" s="3"/>
      <x:c r="Q67" s="3"/>
    </x:row>
    <x:row r="68" ht="20" customHeight="1">
      <x:c r="C68" s="3"/>
      <x:c r="D68" s="42"/>
      <x:c r="E68" s="42"/>
      <x:c r="F68" s="42"/>
      <x:c r="G68" s="42"/>
      <x:c r="H68" s="12"/>
      <x:c r="I68" s="13"/>
      <x:c r="J68" s="13"/>
      <x:c r="K68" s="13"/>
      <x:c r="L68" s="13"/>
      <x:c r="M68" s="13"/>
      <x:c r="N68" s="3"/>
      <x:c r="O68" s="3"/>
      <x:c r="P68" s="3"/>
      <x:c r="Q68" s="3"/>
    </x:row>
    <x:row r="69" ht="20" customHeight="1">
      <x:c r="C69" s="3"/>
      <x:c r="D69" s="42"/>
      <x:c r="E69" s="42"/>
      <x:c r="F69" s="42"/>
      <x:c r="G69" s="42"/>
      <x:c r="H69" s="12"/>
      <x:c r="I69" s="13"/>
      <x:c r="J69" s="13"/>
      <x:c r="K69" s="13"/>
      <x:c r="L69" s="13"/>
      <x:c r="M69" s="13"/>
      <x:c r="N69" s="3"/>
      <x:c r="O69" s="3"/>
      <x:c r="P69" s="3"/>
      <x:c r="Q69" s="3"/>
    </x:row>
    <x:row r="70" ht="20" customHeight="1">
      <x:c r="C70" s="3"/>
      <x:c r="D70" s="42"/>
      <x:c r="E70" s="42"/>
      <x:c r="F70" s="42"/>
      <x:c r="G70" s="42"/>
      <x:c r="H70" s="12"/>
      <x:c r="I70" s="13"/>
      <x:c r="J70" s="13"/>
      <x:c r="K70" s="13"/>
      <x:c r="L70" s="13"/>
      <x:c r="M70" s="13"/>
      <x:c r="N70" s="3"/>
      <x:c r="O70" s="3"/>
      <x:c r="P70" s="3"/>
      <x:c r="Q70" s="3"/>
    </x:row>
    <x:row r="71" ht="20" customHeight="1">
      <x:c r="C71" s="3"/>
      <x:c r="D71" s="42"/>
      <x:c r="E71" s="42"/>
      <x:c r="F71" s="42"/>
      <x:c r="G71" s="42"/>
      <x:c r="H71" s="12"/>
      <x:c r="I71" s="13"/>
      <x:c r="J71" s="13"/>
      <x:c r="K71" s="13"/>
      <x:c r="L71" s="13"/>
      <x:c r="M71" s="13"/>
      <x:c r="N71" s="3"/>
      <x:c r="O71" s="3"/>
      <x:c r="P71" s="3"/>
      <x:c r="Q71" s="3"/>
    </x:row>
    <x:row r="72" ht="20" customHeight="1">
      <x:c r="C72" s="3"/>
      <x:c r="D72" s="42"/>
      <x:c r="E72" s="42"/>
      <x:c r="F72" s="42"/>
      <x:c r="G72" s="42"/>
      <x:c r="H72" s="12"/>
      <x:c r="I72" s="13"/>
      <x:c r="J72" s="13"/>
      <x:c r="K72" s="13"/>
      <x:c r="L72" s="13"/>
      <x:c r="M72" s="13"/>
      <x:c r="N72" s="3"/>
      <x:c r="O72" s="3"/>
      <x:c r="P72" s="3"/>
      <x:c r="Q72" s="3"/>
    </x:row>
    <x:row r="73" ht="20" customHeight="1">
      <x:c r="C73" s="3"/>
      <x:c r="D73" s="42"/>
      <x:c r="E73" s="42"/>
      <x:c r="F73" s="42"/>
      <x:c r="G73" s="42"/>
      <x:c r="H73" s="12"/>
      <x:c r="I73" s="13"/>
      <x:c r="J73" s="13"/>
      <x:c r="K73" s="13"/>
      <x:c r="L73" s="13"/>
      <x:c r="M73" s="13"/>
      <x:c r="N73" s="3"/>
      <x:c r="O73" s="3"/>
      <x:c r="P73" s="3"/>
      <x:c r="Q73" s="3"/>
    </x:row>
    <x:row r="74" ht="20" customHeight="1">
      <x:c r="C74" s="3"/>
      <x:c r="D74" s="42"/>
      <x:c r="E74" s="42"/>
      <x:c r="F74" s="42"/>
      <x:c r="G74" s="42"/>
      <x:c r="H74" s="12"/>
      <x:c r="I74" s="13"/>
      <x:c r="J74" s="13"/>
      <x:c r="K74" s="13"/>
      <x:c r="L74" s="13"/>
      <x:c r="M74" s="13"/>
      <x:c r="N74" s="3"/>
      <x:c r="O74" s="3"/>
      <x:c r="P74" s="3"/>
      <x:c r="Q74" s="3"/>
    </x:row>
    <x:row r="75" ht="20" customHeight="1">
      <x:c r="C75" s="3"/>
      <x:c r="D75" s="42"/>
      <x:c r="E75" s="42"/>
      <x:c r="F75" s="42"/>
      <x:c r="G75" s="42"/>
      <x:c r="H75" s="12"/>
      <x:c r="I75" s="13"/>
      <x:c r="J75" s="13"/>
      <x:c r="K75" s="13"/>
      <x:c r="L75" s="13"/>
      <x:c r="M75" s="13"/>
      <x:c r="N75" s="3"/>
      <x:c r="O75" s="3"/>
      <x:c r="P75" s="3"/>
      <x:c r="Q75" s="3"/>
    </x:row>
    <x:row r="76" ht="20" customHeight="1">
      <x:c r="C76" s="3"/>
      <x:c r="D76" s="42"/>
      <x:c r="E76" s="42"/>
      <x:c r="F76" s="42"/>
      <x:c r="G76" s="42"/>
      <x:c r="H76" s="12"/>
      <x:c r="I76" s="13"/>
      <x:c r="J76" s="13"/>
      <x:c r="K76" s="13"/>
      <x:c r="L76" s="13"/>
      <x:c r="M76" s="13"/>
      <x:c r="N76" s="3"/>
      <x:c r="O76" s="3"/>
      <x:c r="P76" s="3"/>
      <x:c r="Q76" s="3"/>
    </x:row>
    <x:row r="77" ht="20" customHeight="1">
      <x:c r="C77" s="3"/>
      <x:c r="D77" s="42"/>
      <x:c r="E77" s="42"/>
      <x:c r="F77" s="42"/>
      <x:c r="G77" s="42"/>
      <x:c r="H77" s="12"/>
      <x:c r="I77" s="13"/>
      <x:c r="J77" s="13"/>
      <x:c r="K77" s="13"/>
      <x:c r="L77" s="13"/>
      <x:c r="M77" s="13"/>
      <x:c r="N77" s="3"/>
      <x:c r="O77" s="3"/>
      <x:c r="P77" s="3"/>
      <x:c r="Q77" s="3"/>
    </x:row>
    <x:row r="78" ht="20" customHeight="1">
      <x:c r="C78" s="3"/>
      <x:c r="D78" s="42"/>
      <x:c r="E78" s="42"/>
      <x:c r="F78" s="42"/>
      <x:c r="G78" s="42"/>
      <x:c r="H78" s="12"/>
      <x:c r="I78" s="13"/>
      <x:c r="J78" s="13"/>
      <x:c r="K78" s="13"/>
      <x:c r="L78" s="13"/>
      <x:c r="M78" s="13"/>
      <x:c r="N78" s="3"/>
      <x:c r="O78" s="3"/>
      <x:c r="P78" s="3"/>
      <x:c r="Q78" s="3"/>
    </x:row>
    <x:row r="79" ht="20" customHeight="1">
      <x:c r="C79" s="3"/>
      <x:c r="D79" s="42"/>
      <x:c r="E79" s="42"/>
      <x:c r="F79" s="42"/>
      <x:c r="G79" s="42"/>
      <x:c r="H79" s="12"/>
      <x:c r="I79" s="13"/>
      <x:c r="J79" s="13"/>
      <x:c r="K79" s="13"/>
      <x:c r="L79" s="13"/>
      <x:c r="M79" s="13"/>
      <x:c r="N79" s="3"/>
      <x:c r="O79" s="3"/>
      <x:c r="P79" s="3"/>
      <x:c r="Q79" s="3"/>
    </x:row>
    <x:row r="80" ht="20" customHeight="1">
      <x:c r="C80" s="3"/>
      <x:c r="D80" s="42"/>
      <x:c r="E80" s="42"/>
      <x:c r="F80" s="42"/>
      <x:c r="G80" s="42"/>
      <x:c r="H80" s="12"/>
      <x:c r="I80" s="13"/>
      <x:c r="J80" s="13"/>
      <x:c r="K80" s="13"/>
      <x:c r="L80" s="13"/>
      <x:c r="M80" s="13"/>
      <x:c r="N80" s="3"/>
      <x:c r="O80" s="3"/>
      <x:c r="P80" s="3"/>
      <x:c r="Q80" s="3"/>
    </x:row>
    <x:row r="81" ht="20" customHeight="1">
      <x:c r="C81" s="3"/>
      <x:c r="D81" s="42"/>
      <x:c r="E81" s="42"/>
      <x:c r="F81" s="42"/>
      <x:c r="G81" s="42"/>
      <x:c r="H81" s="12"/>
      <x:c r="I81" s="13"/>
      <x:c r="J81" s="13"/>
      <x:c r="K81" s="13"/>
      <x:c r="L81" s="13"/>
      <x:c r="M81" s="13"/>
      <x:c r="N81" s="3"/>
      <x:c r="O81" s="3"/>
      <x:c r="P81" s="3"/>
      <x:c r="Q81" s="3"/>
    </x:row>
    <x:row r="82" ht="20" customHeight="1">
      <x:c r="C82" s="3"/>
      <x:c r="D82" s="42"/>
      <x:c r="E82" s="42"/>
      <x:c r="F82" s="42"/>
      <x:c r="G82" s="42"/>
      <x:c r="H82" s="12"/>
      <x:c r="I82" s="13"/>
      <x:c r="J82" s="13"/>
      <x:c r="K82" s="13"/>
      <x:c r="L82" s="13"/>
      <x:c r="M82" s="13"/>
      <x:c r="N82" s="3"/>
      <x:c r="O82" s="3"/>
      <x:c r="P82" s="3"/>
      <x:c r="Q82" s="3"/>
    </x:row>
    <x:row r="83" ht="20" customHeight="1">
      <x:c r="C83" s="3"/>
      <x:c r="D83" s="42"/>
      <x:c r="E83" s="42"/>
      <x:c r="F83" s="42"/>
      <x:c r="G83" s="42"/>
      <x:c r="H83" s="12"/>
      <x:c r="I83" s="13"/>
      <x:c r="J83" s="13"/>
      <x:c r="K83" s="13"/>
      <x:c r="L83" s="13"/>
      <x:c r="M83" s="13"/>
      <x:c r="N83" s="3"/>
      <x:c r="O83" s="3"/>
      <x:c r="P83" s="3"/>
      <x:c r="Q83" s="3"/>
    </x:row>
    <x:row r="84" ht="20" customHeight="1">
      <x:c r="C84" s="3"/>
      <x:c r="D84" s="42"/>
      <x:c r="E84" s="42"/>
      <x:c r="F84" s="42"/>
      <x:c r="G84" s="42"/>
      <x:c r="H84" s="12"/>
      <x:c r="I84" s="13"/>
      <x:c r="J84" s="13"/>
      <x:c r="K84" s="13"/>
      <x:c r="L84" s="13"/>
      <x:c r="M84" s="13"/>
      <x:c r="N84" s="3"/>
      <x:c r="O84" s="3"/>
      <x:c r="P84" s="3"/>
      <x:c r="Q84" s="3"/>
    </x:row>
    <x:row r="85" ht="20" customHeight="1">
      <x:c r="C85" s="3"/>
      <x:c r="D85" s="42"/>
      <x:c r="E85" s="42"/>
      <x:c r="F85" s="42"/>
      <x:c r="G85" s="42"/>
      <x:c r="H85" s="12"/>
      <x:c r="I85" s="13"/>
      <x:c r="J85" s="13"/>
      <x:c r="K85" s="13"/>
      <x:c r="L85" s="13"/>
      <x:c r="M85" s="13"/>
      <x:c r="N85" s="3"/>
      <x:c r="O85" s="3"/>
      <x:c r="P85" s="3"/>
      <x:c r="Q85" s="3"/>
    </x:row>
    <x:row r="86" ht="20" customHeight="1">
      <x:c r="C86" s="3"/>
      <x:c r="D86" s="42"/>
      <x:c r="E86" s="42"/>
      <x:c r="F86" s="42"/>
      <x:c r="G86" s="42"/>
      <x:c r="H86" s="12"/>
      <x:c r="I86" s="13"/>
      <x:c r="J86" s="13"/>
      <x:c r="K86" s="13"/>
      <x:c r="L86" s="13"/>
      <x:c r="M86" s="13"/>
      <x:c r="N86" s="3"/>
      <x:c r="O86" s="3"/>
      <x:c r="P86" s="3"/>
      <x:c r="Q86" s="3"/>
    </x:row>
    <x:row r="87" ht="20" customHeight="1">
      <x:c r="C87" s="3"/>
      <x:c r="D87" s="42"/>
      <x:c r="E87" s="42"/>
      <x:c r="F87" s="42"/>
      <x:c r="G87" s="42"/>
      <x:c r="H87" s="12"/>
      <x:c r="I87" s="13"/>
      <x:c r="J87" s="13"/>
      <x:c r="K87" s="13"/>
      <x:c r="L87" s="13"/>
      <x:c r="M87" s="13"/>
      <x:c r="N87" s="3"/>
      <x:c r="O87" s="3"/>
      <x:c r="P87" s="3"/>
      <x:c r="Q87" s="3"/>
    </x:row>
    <x:row r="88" ht="20" customHeight="1">
      <x:c r="C88" s="3"/>
      <x:c r="D88" s="42"/>
      <x:c r="E88" s="42"/>
      <x:c r="F88" s="42"/>
      <x:c r="G88" s="42"/>
      <x:c r="H88" s="12"/>
      <x:c r="I88" s="13"/>
      <x:c r="J88" s="13"/>
      <x:c r="K88" s="13"/>
      <x:c r="L88" s="13"/>
      <x:c r="M88" s="13"/>
      <x:c r="N88" s="3"/>
      <x:c r="O88" s="3"/>
      <x:c r="P88" s="3"/>
      <x:c r="Q88" s="3"/>
    </x:row>
    <x:row r="89" ht="20" customHeight="1">
      <x:c r="C89" s="3"/>
      <x:c r="D89" s="42"/>
      <x:c r="E89" s="42"/>
      <x:c r="F89" s="42"/>
      <x:c r="G89" s="42"/>
      <x:c r="H89" s="12"/>
      <x:c r="I89" s="13"/>
      <x:c r="J89" s="13"/>
      <x:c r="K89" s="13"/>
      <x:c r="L89" s="13"/>
      <x:c r="M89" s="13"/>
      <x:c r="N89" s="3"/>
      <x:c r="O89" s="3"/>
      <x:c r="P89" s="3"/>
      <x:c r="Q89" s="3"/>
    </x:row>
    <x:row r="90" ht="20" customHeight="1">
      <x:c r="C90" s="3"/>
      <x:c r="D90" s="42"/>
      <x:c r="E90" s="42"/>
      <x:c r="F90" s="42"/>
      <x:c r="G90" s="42"/>
      <x:c r="H90" s="12"/>
      <x:c r="I90" s="13"/>
      <x:c r="J90" s="13"/>
      <x:c r="K90" s="13"/>
      <x:c r="L90" s="13"/>
      <x:c r="M90" s="13"/>
      <x:c r="N90" s="3"/>
      <x:c r="O90" s="3"/>
      <x:c r="P90" s="3"/>
      <x:c r="Q9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0" hidden="0" customWidth="1"/>
    <x:col min="16" max="16" width="16" hidden="0" customWidth="1"/>
    <x:col min="17" max="17" width="16" hidden="0" customWidth="1"/>
  </x:cols>
  <x:sheetData>
    <x:row r="1" ht="20" customHeight="1"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C2" s="7" t="str">
        <x:v>Capital investment and leases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3"/>
      <x:c r="O2" s="3"/>
      <x:c r="P2" s="3"/>
      <x:c r="Q2" s="3"/>
    </x:row>
    <x:row r="3" ht="20" customHeight="1">
      <x:c r="C3" s="8" t="str">
        <x:v>USD millions except shares (millions), per-share values and rates</x:v>
      </x:c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3"/>
      <x:c r="O3" s="3"/>
      <x:c r="P3" s="3"/>
      <x:c r="Q3" s="3"/>
    </x:row>
    <x:row r="4" ht="24" customHeight="1">
      <x:c r="C4" s="11"/>
      <x:c r="D4" s="11"/>
      <x:c r="E4" s="11"/>
      <x:c r="F4" s="11"/>
      <x:c r="G4" s="11"/>
      <x:c r="H4" s="11" t="str">
        <x:v>FY:26 A</x:v>
      </x:c>
      <x:c r="I4" s="11" t="str">
        <x:v>FY:27 F</x:v>
      </x:c>
      <x:c r="J4" s="11" t="str">
        <x:v>FY:28 F</x:v>
      </x:c>
      <x:c r="K4" s="11" t="str">
        <x:v>FY:29 F</x:v>
      </x:c>
      <x:c r="L4" s="11" t="str">
        <x:v>FY:30 F</x:v>
      </x:c>
      <x:c r="M4" s="11" t="str">
        <x:v>FY:31 F</x:v>
      </x:c>
      <x:c r="N4" s="3"/>
      <x:c r="O4" s="3"/>
      <x:c r="P4" s="3"/>
      <x:c r="Q4" s="3"/>
    </x:row>
    <x:row r="5" ht="20" customHeight="1">
      <x:c r="C5" s="3"/>
      <x:c r="D5" s="42"/>
      <x:c r="E5" s="42"/>
      <x:c r="F5" s="42"/>
      <x:c r="G5" s="42"/>
      <x:c r="H5" s="12"/>
      <x:c r="I5" s="13"/>
      <x:c r="J5" s="13"/>
      <x:c r="K5" s="13"/>
      <x:c r="L5" s="13"/>
      <x:c r="M5" s="13"/>
      <x:c r="N5" s="3"/>
      <x:c r="O5" s="3"/>
      <x:c r="P5" s="3"/>
      <x:c r="Q5" s="3"/>
    </x:row>
    <x:row r="6" ht="20" customHeight="1">
      <x:c r="C6" s="25" t="str">
        <x:v>Cash capital expenditure / revenue</x:v>
      </x:c>
      <x:c r="D6" s="82"/>
      <x:c r="E6" s="82"/>
      <x:c r="F6" s="82"/>
      <x:c r="G6" s="82"/>
      <x:c r="H6" s="26"/>
      <x:c r="I6" s="27" t="n">
        <x:f>'Assumptions'!I16</x:f>
        <x:v>0.42</x:v>
      </x:c>
      <x:c r="J6" s="27" t="n">
        <x:f>'Assumptions'!J16</x:f>
        <x:v>0.37</x:v>
      </x:c>
      <x:c r="K6" s="27" t="n">
        <x:f>'Assumptions'!K16</x:f>
        <x:v>0.32</x:v>
      </x:c>
      <x:c r="L6" s="27" t="n">
        <x:f>'Assumptions'!L16</x:f>
        <x:v>0.28</x:v>
      </x:c>
      <x:c r="M6" s="27" t="n">
        <x:f>'Assumptions'!M16</x:f>
        <x:v>0.25</x:v>
      </x:c>
      <x:c r="N6" s="3"/>
      <x:c r="O6" s="3"/>
      <x:c r="P6" s="3"/>
      <x:c r="Q6" s="3"/>
    </x:row>
    <x:row r="7" ht="20" customHeight="1">
      <x:c r="C7" s="20" t="str">
        <x:v>Cash capital expenditure</x:v>
      </x:c>
      <x:c r="D7" s="50"/>
      <x:c r="E7" s="50"/>
      <x:c r="F7" s="50"/>
      <x:c r="G7" s="50"/>
      <x:c r="H7" s="77" t="n">
        <x:f>-'Actuals'!H79</x:f>
        <x:v>115948</x:v>
      </x:c>
      <x:c r="I7" s="22" t="n">
        <x:f>'Revenue'!I27*I6</x:f>
        <x:v>167793.30539999998</x:v>
      </x:c>
      <x:c r="J7" s="22" t="n">
        <x:f>'Revenue'!J27*J6</x:f>
        <x:v>175814.109382</x:v>
      </x:c>
      <x:c r="K7" s="22" t="n">
        <x:f>'Revenue'!K27*K6</x:f>
        <x:v>177764.56019008</x:v>
      </x:c>
      <x:c r="L7" s="22" t="n">
        <x:f>'Revenue'!L27*L6</x:f>
        <x:v>178114.95447417282</x:v>
      </x:c>
      <x:c r="M7" s="22" t="n">
        <x:f>'Revenue'!M27*M6</x:f>
        <x:v>177913.06635674817</x:v>
      </x:c>
      <x:c r="N7" s="3"/>
      <x:c r="O7" s="3"/>
      <x:c r="P7" s="3"/>
      <x:c r="Q7" s="3"/>
    </x:row>
    <x:row r="8" ht="20" customHeight="1">
      <x:c r="C8" s="3" t="str">
        <x:v>Capital purchases in accounts payable, ending</x:v>
      </x:c>
      <x:c r="D8" s="42"/>
      <x:c r="E8" s="42"/>
      <x:c r="F8" s="42"/>
      <x:c r="G8" s="42"/>
      <x:c r="H8" s="76" t="n">
        <x:f>'Actuals'!H119</x:f>
        <x:v>26700</x:v>
      </x:c>
      <x:c r="I8" s="13" t="n">
        <x:f>I7*'Assumptions'!I19</x:f>
        <x:v>33558.66108</x:v>
      </x:c>
      <x:c r="J8" s="13" t="n">
        <x:f>J7*'Assumptions'!J19</x:f>
        <x:v>31646.539688759996</x:v>
      </x:c>
      <x:c r="K8" s="13" t="n">
        <x:f>K7*'Assumptions'!K19</x:f>
        <x:v>28442.3296304128</x:v>
      </x:c>
      <x:c r="L8" s="13" t="n">
        <x:f>L7*'Assumptions'!L19</x:f>
        <x:v>26717.243171125923</x:v>
      </x:c>
      <x:c r="M8" s="13" t="n">
        <x:f>M7*'Assumptions'!M19</x:f>
        <x:v>26686.959953512225</x:v>
      </x:c>
      <x:c r="N8" s="3"/>
      <x:c r="O8" s="3"/>
      <x:c r="P8" s="3"/>
      <x:c r="Q8" s="3"/>
    </x:row>
    <x:row r="9" ht="20" customHeight="1">
      <x:c r="C9" s="3" t="str">
        <x:v>PP&amp;E obtained through new finance leases</x:v>
      </x:c>
      <x:c r="D9" s="42"/>
      <x:c r="E9" s="42"/>
      <x:c r="F9" s="42"/>
      <x:c r="G9" s="42"/>
      <x:c r="H9" s="76" t="n">
        <x:f>'Actuals'!H134</x:f>
        <x:v>24608</x:v>
      </x:c>
      <x:c r="I9" s="13" t="n">
        <x:f>'Revenue'!I27*'Assumptions'!I17</x:f>
        <x:v>15980.3148</x:v>
      </x:c>
      <x:c r="J9" s="13" t="n">
        <x:f>'Revenue'!J27*'Assumptions'!J17</x:f>
        <x:v>16631.064401000003</x:v>
      </x:c>
      <x:c r="K9" s="13" t="n">
        <x:f>'Revenue'!K27*'Assumptions'!K17</x:f>
        <x:v>16665.42751782</x:v>
      </x:c>
      <x:c r="L9" s="13" t="n">
        <x:f>'Revenue'!L27*'Assumptions'!L17</x:f>
        <x:v>15903.120935194</x:v>
      </x:c>
      <x:c r="M9" s="13" t="n">
        <x:f>'Revenue'!M27*'Assumptions'!M17</x:f>
        <x:v>14233.045308539853</x:v>
      </x:c>
      <x:c r="N9" s="3"/>
      <x:c r="O9" s="3"/>
      <x:c r="P9" s="3"/>
      <x:c r="Q9" s="3"/>
    </x:row>
    <x:row r="10" ht="20" customHeight="1">
      <x:c r="C10" s="3" t="str">
        <x:v>Change in capital purchases payable</x:v>
      </x:c>
      <x:c r="D10" s="42"/>
      <x:c r="E10" s="42"/>
      <x:c r="F10" s="42"/>
      <x:c r="G10" s="42"/>
      <x:c r="H10" s="12"/>
      <x:c r="I10" s="13" t="n">
        <x:f>I8-'Actuals'!H119</x:f>
        <x:v>6858.661079999998</x:v>
      </x:c>
      <x:c r="J10" s="5" t="n">
        <x:f>J8-I8</x:f>
        <x:v>-1912.1213912400017</x:v>
      </x:c>
      <x:c r="K10" s="5" t="n">
        <x:f>K8-J8</x:f>
        <x:v>-3204.2100583471947</x:v>
      </x:c>
      <x:c r="L10" s="5" t="n">
        <x:f>L8-K8</x:f>
        <x:v>-1725.0864592868784</x:v>
      </x:c>
      <x:c r="M10" s="5" t="n">
        <x:f>M8-L8</x:f>
        <x:v>-30.28321761369807</x:v>
      </x:c>
      <x:c r="N10" s="3"/>
      <x:c r="O10" s="3"/>
      <x:c r="P10" s="3"/>
      <x:c r="Q10" s="3"/>
    </x:row>
    <x:row r="11" ht="20" customHeight="1">
      <x:c r="C11" s="20" t="str">
        <x:v>Total PP&amp;E asset additions</x:v>
      </x:c>
      <x:c r="D11" s="50"/>
      <x:c r="E11" s="50"/>
      <x:c r="F11" s="50"/>
      <x:c r="G11" s="50"/>
      <x:c r="H11" s="21"/>
      <x:c r="I11" s="70" t="n">
        <x:f>SUM(I7,I9,I10)</x:f>
        <x:v>190632.28127999997</x:v>
      </x:c>
      <x:c r="J11" s="70" t="n">
        <x:f>SUM(J7,J9,J10)</x:f>
        <x:v>190533.05239176</x:v>
      </x:c>
      <x:c r="K11" s="70" t="n">
        <x:f>SUM(K7,K9,K10)</x:f>
        <x:v>191225.7776495528</x:v>
      </x:c>
      <x:c r="L11" s="70" t="n">
        <x:f>SUM(L7,L9,L10)</x:f>
        <x:v>192292.98895007992</x:v>
      </x:c>
      <x:c r="M11" s="70" t="n">
        <x:f>SUM(M7,M9,M10)</x:f>
        <x:v>192115.8284476743</x:v>
      </x:c>
      <x:c r="N11" s="3"/>
      <x:c r="O11" s="36" t="str">
        <x:v>Cash capex + change in capital creditors + noncash finance-lease additions. No acquisitions or disposals assumed.</x:v>
      </x:c>
      <x:c r="P11" s="3"/>
      <x:c r="Q11" s="3"/>
    </x:row>
    <x:row r="12" ht="20" customHeight="1">
      <x:c r="C12" s="3" t="str">
        <x:v>Short-lived equipment additions</x:v>
      </x:c>
      <x:c r="D12" s="42"/>
      <x:c r="E12" s="42"/>
      <x:c r="F12" s="42"/>
      <x:c r="G12" s="42"/>
      <x:c r="H12" s="12"/>
      <x:c r="I12" s="13" t="n">
        <x:f>I11*'Assumptions'!I40</x:f>
        <x:v>127088.18751999998</x:v>
      </x:c>
      <x:c r="J12" s="13" t="n">
        <x:f>J11*'Assumptions'!J40</x:f>
        <x:v>127022.03492784</x:v>
      </x:c>
      <x:c r="K12" s="13" t="n">
        <x:f>K11*'Assumptions'!K40</x:f>
        <x:v>127483.85176636852</x:v>
      </x:c>
      <x:c r="L12" s="13" t="n">
        <x:f>L11*'Assumptions'!L40</x:f>
        <x:v>128195.32596671995</x:v>
      </x:c>
      <x:c r="M12" s="13" t="n">
        <x:f>M11*'Assumptions'!M40</x:f>
        <x:v>128077.2189651162</x:v>
      </x:c>
      <x:c r="N12" s="3"/>
      <x:c r="O12" s="3"/>
      <x:c r="P12" s="3"/>
      <x:c r="Q12" s="3"/>
    </x:row>
    <x:row r="13" ht="20" customHeight="1">
      <x:c r="C13" s="3" t="str">
        <x:v>Long-lived building additions</x:v>
      </x:c>
      <x:c r="D13" s="42"/>
      <x:c r="E13" s="42"/>
      <x:c r="F13" s="42"/>
      <x:c r="G13" s="42"/>
      <x:c r="H13" s="12"/>
      <x:c r="I13" s="5" t="n">
        <x:f>I11-I12</x:f>
        <x:v>63544.09375999999</x:v>
      </x:c>
      <x:c r="J13" s="5" t="n">
        <x:f>J11-J12</x:f>
        <x:v>63511.01746392</x:v>
      </x:c>
      <x:c r="K13" s="5" t="n">
        <x:f>K11-K12</x:f>
        <x:v>63741.925883184274</x:v>
      </x:c>
      <x:c r="L13" s="5" t="n">
        <x:f>L11-L12</x:f>
        <x:v>64097.66298335997</x:v>
      </x:c>
      <x:c r="M13" s="5" t="n">
        <x:f>M11-M12</x:f>
        <x:v>64038.60948255811</x:v>
      </x:c>
      <x:c r="N13" s="3"/>
      <x:c r="O13" s="3"/>
      <x:c r="P13" s="3"/>
      <x:c r="Q13" s="3"/>
    </x:row>
    <x:row r="14" ht="20" customHeight="1">
      <x:c r="C14" s="3"/>
      <x:c r="D14" s="42"/>
      <x:c r="E14" s="42"/>
      <x:c r="F14" s="42"/>
      <x:c r="G14" s="42"/>
      <x:c r="H14" s="12"/>
      <x:c r="I14" s="13"/>
      <x:c r="J14" s="13"/>
      <x:c r="K14" s="13"/>
      <x:c r="L14" s="13"/>
      <x:c r="M14" s="13"/>
      <x:c r="N14" s="3"/>
      <x:c r="O14" s="3"/>
      <x:c r="P14" s="3"/>
      <x:c r="Q14" s="3"/>
    </x:row>
    <x:row r="15" ht="20" customHeight="1">
      <x:c r="C15" s="3" t="str">
        <x:v>Existing depreciable PP&amp;E, opening</x:v>
      </x:c>
      <x:c r="D15" s="42"/>
      <x:c r="E15" s="42"/>
      <x:c r="F15" s="42"/>
      <x:c r="G15" s="42"/>
      <x:c r="H15" s="12"/>
      <x:c r="I15" s="13" t="n">
        <x:f>'Actuals'!H31-'Actuals'!H121</x:f>
        <x:v>302530</x:v>
      </x:c>
      <x:c r="J15" s="5" t="n">
        <x:f>I17</x:f>
        <x:v>264713.75</x:v>
      </x:c>
      <x:c r="K15" s="5" t="n">
        <x:f>J17</x:f>
        <x:v>226897.5</x:v>
      </x:c>
      <x:c r="L15" s="5" t="n">
        <x:f>K17</x:f>
        <x:v>189081.25</x:v>
      </x:c>
      <x:c r="M15" s="5" t="n">
        <x:f>L17</x:f>
        <x:v>151265</x:v>
      </x:c>
      <x:c r="N15" s="3"/>
      <x:c r="O15" s="3"/>
      <x:c r="P15" s="3"/>
      <x:c r="Q15" s="3"/>
    </x:row>
    <x:row r="16" ht="20" customHeight="1">
      <x:c r="C16" s="3" t="str">
        <x:v>Depreciation on existing PP&amp;E</x:v>
      </x:c>
      <x:c r="D16" s="42"/>
      <x:c r="E16" s="42"/>
      <x:c r="F16" s="42"/>
      <x:c r="G16" s="42"/>
      <x:c r="H16" s="12"/>
      <x:c r="I16" s="13" t="n">
        <x:f>MIN(I15,('Actuals'!$H$31-'Actuals'!$H$121)/'Assumptions'!I41)</x:f>
        <x:v>37816.25</x:v>
      </x:c>
      <x:c r="J16" s="13" t="n">
        <x:f>MIN(J15,('Actuals'!$H$31-'Actuals'!$H$121)/'Assumptions'!J41)</x:f>
        <x:v>37816.25</x:v>
      </x:c>
      <x:c r="K16" s="13" t="n">
        <x:f>MIN(K15,('Actuals'!$H$31-'Actuals'!$H$121)/'Assumptions'!K41)</x:f>
        <x:v>37816.25</x:v>
      </x:c>
      <x:c r="L16" s="13" t="n">
        <x:f>MIN(L15,('Actuals'!$H$31-'Actuals'!$H$121)/'Assumptions'!L41)</x:f>
        <x:v>37816.25</x:v>
      </x:c>
      <x:c r="M16" s="13" t="n">
        <x:f>MIN(M15,('Actuals'!$H$31-'Actuals'!$H$121)/'Assumptions'!M41)</x:f>
        <x:v>37816.25</x:v>
      </x:c>
      <x:c r="N16" s="3"/>
      <x:c r="O16" s="36" t="str">
        <x:v>Existing net PP&amp;E excluding land depreciates over an estimated eight remaining years.</x:v>
      </x:c>
      <x:c r="P16" s="3"/>
      <x:c r="Q16" s="3"/>
    </x:row>
    <x:row r="17" ht="20" customHeight="1">
      <x:c r="C17" s="3" t="str">
        <x:v>Existing depreciable PP&amp;E, ending</x:v>
      </x:c>
      <x:c r="D17" s="42"/>
      <x:c r="E17" s="42"/>
      <x:c r="F17" s="42"/>
      <x:c r="G17" s="42"/>
      <x:c r="H17" s="12"/>
      <x:c r="I17" s="5" t="n">
        <x:f>I15-I16</x:f>
        <x:v>264713.75</x:v>
      </x:c>
      <x:c r="J17" s="5" t="n">
        <x:f>J15-J16</x:f>
        <x:v>226897.5</x:v>
      </x:c>
      <x:c r="K17" s="5" t="n">
        <x:f>K15-K16</x:f>
        <x:v>189081.25</x:v>
      </x:c>
      <x:c r="L17" s="5" t="n">
        <x:f>L15-L16</x:f>
        <x:v>151265</x:v>
      </x:c>
      <x:c r="M17" s="5" t="n">
        <x:f>M15-M16</x:f>
        <x:v>113448.75</x:v>
      </x:c>
      <x:c r="N17" s="3"/>
      <x:c r="O17" s="3"/>
      <x:c r="P17" s="3"/>
      <x:c r="Q17" s="3"/>
    </x:row>
    <x:row r="18" ht="20" customHeight="1">
      <x:c r="C18" s="3" t="str">
        <x:v>Depreciation on new equipment</x:v>
      </x:c>
      <x:c r="D18" s="42"/>
      <x:c r="E18" s="42"/>
      <x:c r="F18" s="42"/>
      <x:c r="G18" s="42"/>
      <x:c r="H18" s="12"/>
      <x:c r="I18" s="13" t="n">
        <x:f>(0+I12/2)/'Assumptions'!I38</x:f>
        <x:v>10590.682293333331</x:v>
      </x:c>
      <x:c r="J18" s="13" t="n">
        <x:f>(SUM($I$12:I12)+J12/2)/'Assumptions'!J38</x:f>
        <x:v>31766.534163986664</x:v>
      </x:c>
      <x:c r="K18" s="13" t="n">
        <x:f>(SUM($I$12:J12)+K12/2)/'Assumptions'!K38</x:f>
        <x:v>52975.358055170705</x:v>
      </x:c>
      <x:c r="L18" s="13" t="n">
        <x:f>(SUM($I$12:K12)+L12/2)/'Assumptions'!L38</x:f>
        <x:v>74281.95619959476</x:v>
      </x:c>
      <x:c r="M18" s="13" t="n">
        <x:f>(SUM($I$12:L12)+M12/2)/'Assumptions'!M38</x:f>
        <x:v>95638.00161058111</x:v>
      </x:c>
      <x:c r="N18" s="3"/>
      <x:c r="O18" s="36" t="str">
        <x:v>Equipment and building additions use a half-year convention. No new cohort reaches retirement within FY2027–FY2031.</x:v>
      </x:c>
      <x:c r="P18" s="3"/>
      <x:c r="Q18" s="3"/>
    </x:row>
    <x:row r="19" ht="20" customHeight="1">
      <x:c r="C19" s="3" t="str">
        <x:v>Depreciation on new buildings</x:v>
      </x:c>
      <x:c r="D19" s="42"/>
      <x:c r="E19" s="42"/>
      <x:c r="F19" s="42"/>
      <x:c r="G19" s="42"/>
      <x:c r="H19" s="12"/>
      <x:c r="I19" s="13" t="n">
        <x:f>(0+I13/2)/'Assumptions'!I39</x:f>
        <x:v>1270.8818751999997</x:v>
      </x:c>
      <x:c r="J19" s="13" t="n">
        <x:f>(SUM($I$13:I13)+J13/2)/'Assumptions'!J39</x:f>
        <x:v>3811.9840996783996</x:v>
      </x:c>
      <x:c r="K19" s="13" t="n">
        <x:f>(SUM($I$13:J13)+K13/2)/'Assumptions'!K39</x:f>
        <x:v>6357.042966620485</x:v>
      </x:c>
      <x:c r="L19" s="13" t="n">
        <x:f>(SUM($I$13:K13)+L13/2)/'Assumptions'!L39</x:f>
        <x:v>8913.834743951371</x:v>
      </x:c>
      <x:c r="M19" s="13" t="n">
        <x:f>(SUM($I$13:L13)+M13/2)/'Assumptions'!M39</x:f>
        <x:v>11476.560193269732</x:v>
      </x:c>
      <x:c r="N19" s="3"/>
      <x:c r="O19" s="3"/>
      <x:c r="P19" s="3"/>
      <x:c r="Q19" s="3"/>
    </x:row>
    <x:row r="20" ht="20" customHeight="1">
      <x:c r="C20" s="20" t="str">
        <x:v>Total PP&amp;E depreciation</x:v>
      </x:c>
      <x:c r="D20" s="50"/>
      <x:c r="E20" s="50"/>
      <x:c r="F20" s="50"/>
      <x:c r="G20" s="50"/>
      <x:c r="H20" s="77" t="n">
        <x:f>'Actuals'!H117</x:f>
        <x:v>34300</x:v>
      </x:c>
      <x:c r="I20" s="70" t="n">
        <x:f>SUM(I16,I18:I19)</x:f>
        <x:v>49677.81416853333</x:v>
      </x:c>
      <x:c r="J20" s="70" t="n">
        <x:f>SUM(J16,J18:J19)</x:f>
        <x:v>73394.76826366506</x:v>
      </x:c>
      <x:c r="K20" s="70" t="n">
        <x:f>SUM(K16,K18:K19)</x:f>
        <x:v>97148.65102179119</x:v>
      </x:c>
      <x:c r="L20" s="70" t="n">
        <x:f>SUM(L16,L18:L19)</x:f>
        <x:v>121012.04094354613</x:v>
      </x:c>
      <x:c r="M20" s="70" t="n">
        <x:f>SUM(M16,M18:M19)</x:f>
        <x:v>144930.81180385084</x:v>
      </x:c>
      <x:c r="N20" s="3"/>
      <x:c r="O20" s="3"/>
      <x:c r="P20" s="3"/>
      <x:c r="Q20" s="3"/>
    </x:row>
    <x:row r="21" ht="20" customHeight="1">
      <x:c r="C21" s="20" t="str">
        <x:v>Total depreciation and acquired amortization</x:v>
      </x:c>
      <x:c r="D21" s="50"/>
      <x:c r="E21" s="50"/>
      <x:c r="F21" s="50"/>
      <x:c r="G21" s="50"/>
      <x:c r="H21" s="77" t="n">
        <x:f>SUM('Actuals'!H117:H118)</x:f>
        <x:v>39000</x:v>
      </x:c>
      <x:c r="I21" s="70" t="n">
        <x:f>SUM(I20,I26)</x:f>
        <x:v>52774.81416853333</x:v>
      </x:c>
      <x:c r="J21" s="70" t="n">
        <x:f>SUM(J20,J26)</x:f>
        <x:v>75535.76826366506</x:v>
      </x:c>
      <x:c r="K21" s="70" t="n">
        <x:f>SUM(K20,K26)</x:f>
        <x:v>99092.65102179119</x:v>
      </x:c>
      <x:c r="L21" s="70" t="n">
        <x:f>SUM(L20,L26)</x:f>
        <x:v>122489.04094354613</x:v>
      </x:c>
      <x:c r="M21" s="70" t="n">
        <x:f>SUM(M20,M26)</x:f>
        <x:v>146058.81180385084</x:v>
      </x:c>
      <x:c r="N21" s="3"/>
      <x:c r="O21" s="3"/>
      <x:c r="P21" s="3"/>
      <x:c r="Q21" s="3"/>
    </x:row>
    <x:row r="22" ht="20" customHeight="1">
      <x:c r="C22" s="3" t="str">
        <x:v>PP&amp;E, beginning</x:v>
      </x:c>
      <x:c r="D22" s="42"/>
      <x:c r="E22" s="42"/>
      <x:c r="F22" s="42"/>
      <x:c r="G22" s="42"/>
      <x:c r="H22" s="12"/>
      <x:c r="I22" s="13" t="n">
        <x:f>'Actuals'!H31</x:f>
        <x:v>313076</x:v>
      </x:c>
      <x:c r="J22" s="5" t="n">
        <x:f>I23</x:f>
        <x:v>454030.4671114667</x:v>
      </x:c>
      <x:c r="K22" s="5" t="n">
        <x:f>J23</x:f>
        <x:v>571168.7512395617</x:v>
      </x:c>
      <x:c r="L22" s="5" t="n">
        <x:f>K23</x:f>
        <x:v>665245.8778673233</x:v>
      </x:c>
      <x:c r="M22" s="5" t="n">
        <x:f>L23</x:f>
        <x:v>736526.8258738571</x:v>
      </x:c>
      <x:c r="N22" s="3"/>
      <x:c r="O22" s="3"/>
      <x:c r="P22" s="3"/>
      <x:c r="Q22" s="3"/>
    </x:row>
    <x:row r="23" ht="20" customHeight="1">
      <x:c r="C23" s="20" t="str">
        <x:v>PP&amp;E, ending</x:v>
      </x:c>
      <x:c r="D23" s="50"/>
      <x:c r="E23" s="50"/>
      <x:c r="F23" s="50"/>
      <x:c r="G23" s="50"/>
      <x:c r="H23" s="77" t="n">
        <x:f>'Actuals'!H31</x:f>
        <x:v>313076</x:v>
      </x:c>
      <x:c r="I23" s="70" t="n">
        <x:f>I22+I11-I20</x:f>
        <x:v>454030.4671114667</x:v>
      </x:c>
      <x:c r="J23" s="70" t="n">
        <x:f>J22+J11-J20</x:f>
        <x:v>571168.7512395617</x:v>
      </x:c>
      <x:c r="K23" s="70" t="n">
        <x:f>K22+K11-K20</x:f>
        <x:v>665245.8778673233</x:v>
      </x:c>
      <x:c r="L23" s="70" t="n">
        <x:f>L22+L11-L20</x:f>
        <x:v>736526.8258738571</x:v>
      </x:c>
      <x:c r="M23" s="70" t="n">
        <x:f>M22+M11-M20</x:f>
        <x:v>783711.8425176806</x:v>
      </x:c>
      <x:c r="N23" s="3"/>
      <x:c r="O23" s="3"/>
      <x:c r="P23" s="3"/>
      <x:c r="Q23" s="3"/>
    </x:row>
    <x:row r="24" ht="20" customHeight="1">
      <x:c r="C24" s="3"/>
      <x:c r="D24" s="42"/>
      <x:c r="E24" s="42"/>
      <x:c r="F24" s="42"/>
      <x:c r="G24" s="42"/>
      <x:c r="H24" s="12"/>
      <x:c r="I24" s="13"/>
      <x:c r="J24" s="13"/>
      <x:c r="K24" s="13"/>
      <x:c r="L24" s="13"/>
      <x:c r="M24" s="13"/>
      <x:c r="N24" s="3"/>
      <x:c r="O24" s="3"/>
      <x:c r="P24" s="3"/>
      <x:c r="Q24" s="3"/>
    </x:row>
    <x:row r="25" ht="20" customHeight="1">
      <x:c r="C25" s="3" t="str">
        <x:v>Acquired intangible assets, beginning</x:v>
      </x:c>
      <x:c r="D25" s="42"/>
      <x:c r="E25" s="42"/>
      <x:c r="F25" s="42"/>
      <x:c r="G25" s="42"/>
      <x:c r="H25" s="12"/>
      <x:c r="I25" s="13" t="n">
        <x:f>'Actuals'!H35</x:f>
        <x:v>18609</x:v>
      </x:c>
      <x:c r="J25" s="5" t="n">
        <x:f>I27</x:f>
        <x:v>15512</x:v>
      </x:c>
      <x:c r="K25" s="5" t="n">
        <x:f>J27</x:f>
        <x:v>13371</x:v>
      </x:c>
      <x:c r="L25" s="5" t="n">
        <x:f>K27</x:f>
        <x:v>11427</x:v>
      </x:c>
      <x:c r="M25" s="5" t="n">
        <x:f>L27</x:f>
        <x:v>9950</x:v>
      </x:c>
      <x:c r="N25" s="3"/>
      <x:c r="O25" s="3"/>
      <x:c r="P25" s="3"/>
      <x:c r="Q25" s="3"/>
    </x:row>
    <x:row r="26" ht="20" customHeight="1">
      <x:c r="C26" s="3" t="str">
        <x:v>Scheduled acquired-intangible amortization</x:v>
      </x:c>
      <x:c r="D26" s="42"/>
      <x:c r="E26" s="42"/>
      <x:c r="F26" s="42"/>
      <x:c r="G26" s="42"/>
      <x:c r="H26" s="12"/>
      <x:c r="I26" s="13" t="n">
        <x:f>MIN(I25,'Actuals'!I128)</x:f>
        <x:v>3097</x:v>
      </x:c>
      <x:c r="J26" s="13" t="n">
        <x:f>MIN(J25,'Actuals'!J128)</x:f>
        <x:v>2141</x:v>
      </x:c>
      <x:c r="K26" s="13" t="n">
        <x:f>MIN(K25,'Actuals'!K128)</x:f>
        <x:v>1944</x:v>
      </x:c>
      <x:c r="L26" s="13" t="n">
        <x:f>MIN(L25,'Actuals'!L128)</x:f>
        <x:v>1477</x:v>
      </x:c>
      <x:c r="M26" s="13" t="n">
        <x:f>MIN(M25,'Actuals'!M128)</x:f>
        <x:v>1128</x:v>
      </x:c>
      <x:c r="N26" s="3"/>
      <x:c r="O26" s="36" t="str">
        <x:v>Source: disclosed amortization of existing acquired intangibles. No new acquired intangibles assumed.</x:v>
      </x:c>
      <x:c r="P26" s="3"/>
      <x:c r="Q26" s="3"/>
    </x:row>
    <x:row r="27" ht="20" customHeight="1">
      <x:c r="C27" s="20" t="str">
        <x:v>Acquired intangible assets, ending</x:v>
      </x:c>
      <x:c r="D27" s="50"/>
      <x:c r="E27" s="50"/>
      <x:c r="F27" s="50"/>
      <x:c r="G27" s="50"/>
      <x:c r="H27" s="77" t="n">
        <x:f>'Actuals'!H35</x:f>
        <x:v>18609</x:v>
      </x:c>
      <x:c r="I27" s="70" t="n">
        <x:f>I25-I26</x:f>
        <x:v>15512</x:v>
      </x:c>
      <x:c r="J27" s="70" t="n">
        <x:f>J25-J26</x:f>
        <x:v>13371</x:v>
      </x:c>
      <x:c r="K27" s="70" t="n">
        <x:f>K25-K26</x:f>
        <x:v>11427</x:v>
      </x:c>
      <x:c r="L27" s="70" t="n">
        <x:f>L25-L26</x:f>
        <x:v>9950</x:v>
      </x:c>
      <x:c r="M27" s="70" t="n">
        <x:f>M25-M26</x:f>
        <x:v>8822</x:v>
      </x:c>
      <x:c r="N27" s="3"/>
      <x:c r="O27" s="3"/>
      <x:c r="P27" s="3"/>
      <x:c r="Q27" s="3"/>
    </x:row>
    <x:row r="28" ht="20" customHeight="1">
      <x:c r="C28" s="3"/>
      <x:c r="D28" s="42"/>
      <x:c r="E28" s="42"/>
      <x:c r="F28" s="42"/>
      <x:c r="G28" s="42"/>
      <x:c r="H28" s="12"/>
      <x:c r="I28" s="13"/>
      <x:c r="J28" s="13"/>
      <x:c r="K28" s="13"/>
      <x:c r="L28" s="13"/>
      <x:c r="M28" s="13"/>
      <x:c r="N28" s="3"/>
      <x:c r="O28" s="3"/>
      <x:c r="P28" s="3"/>
      <x:c r="Q28" s="3"/>
    </x:row>
    <x:row r="29" ht="23" customHeight="1">
      <x:c r="C29" s="10" t="str">
        <x:v>FINANCE LEASES</x:v>
      </x:c>
      <x:c r="D29" s="84"/>
      <x:c r="E29" s="84"/>
      <x:c r="F29" s="84"/>
      <x:c r="G29" s="84"/>
      <x:c r="H29" s="87"/>
      <x:c r="I29" s="16"/>
      <x:c r="J29" s="16"/>
      <x:c r="K29" s="16"/>
      <x:c r="L29" s="16"/>
      <x:c r="M29" s="16"/>
      <x:c r="N29" s="3"/>
      <x:c r="O29" s="3"/>
      <x:c r="P29" s="3"/>
      <x:c r="Q29" s="3"/>
    </x:row>
    <x:row r="30" ht="20" customHeight="1">
      <x:c r="C30" s="3" t="str">
        <x:v>Legacy finance lease liabilities, opening</x:v>
      </x:c>
      <x:c r="D30" s="42"/>
      <x:c r="E30" s="42"/>
      <x:c r="F30" s="42"/>
      <x:c r="G30" s="42"/>
      <x:c r="H30" s="12"/>
      <x:c r="I30" s="13" t="n">
        <x:f>SUM('Actuals'!H44,'Actuals'!H53)</x:f>
        <x:v>66594</x:v>
      </x:c>
      <x:c r="J30" s="5" t="n">
        <x:f>I34</x:f>
        <x:v>62469.729999999996</x:v>
      </x:c>
      <x:c r="K30" s="5" t="n">
        <x:f>J34</x:f>
        <x:v>57986.867849999995</x:v>
      </x:c>
      <x:c r="L30" s="5" t="n">
        <x:f>K34</x:f>
        <x:v>53928.27690324999</x:v>
      </x:c>
      <x:c r="M30" s="5" t="n">
        <x:f>L34</x:f>
        <x:v>49785.04936389624</x:v>
      </x:c>
      <x:c r="N30" s="3"/>
      <x:c r="O30" s="3"/>
      <x:c r="P30" s="3"/>
      <x:c r="Q30" s="3"/>
    </x:row>
    <x:row r="31" ht="20" customHeight="1">
      <x:c r="C31" s="3" t="str">
        <x:v>Legacy contractual cash payments</x:v>
      </x:c>
      <x:c r="D31" s="42"/>
      <x:c r="E31" s="42"/>
      <x:c r="F31" s="42"/>
      <x:c r="G31" s="42"/>
      <x:c r="H31" s="12"/>
      <x:c r="I31" s="13" t="n">
        <x:f>'Actuals'!I127</x:f>
        <x:v>7121</x:v>
      </x:c>
      <x:c r="J31" s="13" t="n">
        <x:f>'Actuals'!J127</x:f>
        <x:v>7294</x:v>
      </x:c>
      <x:c r="K31" s="13" t="n">
        <x:f>'Actuals'!K127</x:f>
        <x:v>6668</x:v>
      </x:c>
      <x:c r="L31" s="13" t="n">
        <x:f>'Actuals'!L127</x:f>
        <x:v>6570</x:v>
      </x:c>
      <x:c r="M31" s="13" t="n">
        <x:f>'Actuals'!M127</x:f>
        <x:v>6543</x:v>
      </x:c>
      <x:c r="N31" s="3"/>
      <x:c r="O31" s="36" t="str">
        <x:v>Legacy lease payments are contractual. Legacy interest is estimated at the disclosed weighted-average rate.</x:v>
      </x:c>
      <x:c r="P31" s="3"/>
      <x:c r="Q31" s="3"/>
    </x:row>
    <x:row r="32" ht="20" customHeight="1">
      <x:c r="C32" s="3" t="str">
        <x:v>Interest on legacy finance leases</x:v>
      </x:c>
      <x:c r="D32" s="42"/>
      <x:c r="E32" s="42"/>
      <x:c r="F32" s="42"/>
      <x:c r="G32" s="42"/>
      <x:c r="H32" s="12"/>
      <x:c r="I32" s="13" t="n">
        <x:f>I30*'Assumptions'!I36</x:f>
        <x:v>2996.73</x:v>
      </x:c>
      <x:c r="J32" s="13" t="n">
        <x:f>J30*'Assumptions'!J36</x:f>
        <x:v>2811.1378499999996</x:v>
      </x:c>
      <x:c r="K32" s="13" t="n">
        <x:f>K30*'Assumptions'!K36</x:f>
        <x:v>2609.4090532499995</x:v>
      </x:c>
      <x:c r="L32" s="13" t="n">
        <x:f>L30*'Assumptions'!L36</x:f>
        <x:v>2426.77246064625</x:v>
      </x:c>
      <x:c r="M32" s="13" t="n">
        <x:f>M30*'Assumptions'!M36</x:f>
        <x:v>2240.3272213753307</x:v>
      </x:c>
      <x:c r="N32" s="3"/>
      <x:c r="O32" s="3"/>
      <x:c r="P32" s="3"/>
      <x:c r="Q32" s="3"/>
    </x:row>
    <x:row r="33" ht="20" customHeight="1">
      <x:c r="C33" s="3" t="str">
        <x:v>Legacy finance lease principal paid</x:v>
      </x:c>
      <x:c r="D33" s="42"/>
      <x:c r="E33" s="42"/>
      <x:c r="F33" s="42"/>
      <x:c r="G33" s="42"/>
      <x:c r="H33" s="12"/>
      <x:c r="I33" s="5" t="n">
        <x:f>MIN(I30,MAX(0,I31-I32))</x:f>
        <x:v>4124.27</x:v>
      </x:c>
      <x:c r="J33" s="5" t="n">
        <x:f>MIN(J30,MAX(0,J31-J32))</x:f>
        <x:v>4482.862150000001</x:v>
      </x:c>
      <x:c r="K33" s="5" t="n">
        <x:f>MIN(K30,MAX(0,K31-K32))</x:f>
        <x:v>4058.5909467500005</x:v>
      </x:c>
      <x:c r="L33" s="5" t="n">
        <x:f>MIN(L30,MAX(0,L31-L32))</x:f>
        <x:v>4143.22753935375</x:v>
      </x:c>
      <x:c r="M33" s="5" t="n">
        <x:f>MIN(M30,MAX(0,M31-M32))</x:f>
        <x:v>4302.672778624669</x:v>
      </x:c>
      <x:c r="N33" s="3"/>
      <x:c r="O33" s="3"/>
      <x:c r="P33" s="3"/>
      <x:c r="Q33" s="3"/>
    </x:row>
    <x:row r="34" ht="20" customHeight="1">
      <x:c r="C34" s="3" t="str">
        <x:v>Legacy finance lease liabilities, ending</x:v>
      </x:c>
      <x:c r="D34" s="42"/>
      <x:c r="E34" s="42"/>
      <x:c r="F34" s="42"/>
      <x:c r="G34" s="42"/>
      <x:c r="H34" s="12"/>
      <x:c r="I34" s="5" t="n">
        <x:f>I30-I33</x:f>
        <x:v>62469.729999999996</x:v>
      </x:c>
      <x:c r="J34" s="5" t="n">
        <x:f>J30-J33</x:f>
        <x:v>57986.867849999995</x:v>
      </x:c>
      <x:c r="K34" s="5" t="n">
        <x:f>K30-K33</x:f>
        <x:v>53928.27690324999</x:v>
      </x:c>
      <x:c r="L34" s="5" t="n">
        <x:f>L30-L33</x:f>
        <x:v>49785.04936389624</x:v>
      </x:c>
      <x:c r="M34" s="5" t="n">
        <x:f>M30-M33</x:f>
        <x:v>45482.37658527157</x:v>
      </x:c>
      <x:c r="N34" s="3"/>
      <x:c r="O34" s="3"/>
      <x:c r="P34" s="3"/>
      <x:c r="Q34" s="3"/>
    </x:row>
    <x:row r="35" ht="20" customHeight="1">
      <x:c r="C35" s="3" t="str">
        <x:v>New finance lease liabilities, opening</x:v>
      </x:c>
      <x:c r="D35" s="42"/>
      <x:c r="E35" s="42"/>
      <x:c r="F35" s="42"/>
      <x:c r="G35" s="42"/>
      <x:c r="H35" s="12"/>
      <x:c r="I35" s="5" t="n">
        <x:f>0</x:f>
        <x:v>0</x:v>
      </x:c>
      <x:c r="J35" s="5" t="n">
        <x:f>I38</x:f>
        <x:v>15365.687307692308</x:v>
      </x:c>
      <x:c r="K35" s="5" t="n">
        <x:f>J38</x:f>
        <x:v>30127.84040096154</x:v>
      </x:c>
      <x:c r="L35" s="5" t="n">
        <x:f>K38</x:f>
        <x:v>43643.72230648077</x:v>
      </x:c>
      <x:c r="M35" s="5" t="n">
        <x:f>L38</x:f>
        <x:v>55144.66115041192</x:v>
      </x:c>
      <x:c r="N35" s="3"/>
      <x:c r="O35" s="3"/>
      <x:c r="P35" s="3"/>
      <x:c r="Q35" s="3"/>
    </x:row>
    <x:row r="36" ht="20" customHeight="1">
      <x:c r="C36" s="3" t="str">
        <x:v>New finance lease liabilities added</x:v>
      </x:c>
      <x:c r="D36" s="42"/>
      <x:c r="E36" s="42"/>
      <x:c r="F36" s="42"/>
      <x:c r="G36" s="42"/>
      <x:c r="H36" s="12"/>
      <x:c r="I36" s="5" t="n">
        <x:f>I9</x:f>
        <x:v>15980.3148</x:v>
      </x:c>
      <x:c r="J36" s="5" t="n">
        <x:f>J9</x:f>
        <x:v>16631.064401000003</x:v>
      </x:c>
      <x:c r="K36" s="5" t="n">
        <x:f>K9</x:f>
        <x:v>16665.42751782</x:v>
      </x:c>
      <x:c r="L36" s="5" t="n">
        <x:f>L9</x:f>
        <x:v>15903.120935194</x:v>
      </x:c>
      <x:c r="M36" s="5" t="n">
        <x:f>M9</x:f>
        <x:v>14233.045308539853</x:v>
      </x:c>
      <x:c r="N36" s="3"/>
      <x:c r="O36" s="3"/>
      <x:c r="P36" s="3"/>
      <x:c r="Q36" s="3"/>
    </x:row>
    <x:row r="37" ht="20" customHeight="1">
      <x:c r="C37" s="3" t="str">
        <x:v>Principal repaid on new finance leases</x:v>
      </x:c>
      <x:c r="D37" s="42"/>
      <x:c r="E37" s="42"/>
      <x:c r="F37" s="42"/>
      <x:c r="G37" s="42"/>
      <x:c r="H37" s="12"/>
      <x:c r="I37" s="13" t="n">
        <x:f>MIN(I35+I36,(0+I36/2)/'Assumptions'!I42)</x:f>
        <x:v>614.6274923076924</x:v>
      </x:c>
      <x:c r="J37" s="13" t="n">
        <x:f>MIN(J35+J36,(SUM($I$36:I36)+J36/2)/'Assumptions'!J42)</x:f>
        <x:v>1868.9113077307693</x:v>
      </x:c>
      <x:c r="K37" s="13" t="n">
        <x:f>MIN(K35+K36,(SUM($I$36:J36)+K36/2)/'Assumptions'!K42)</x:f>
        <x:v>3149.54561230077</x:v>
      </x:c>
      <x:c r="L37" s="13" t="n">
        <x:f>MIN(L35+L36,(SUM($I$36:K36)+L36/2)/'Assumptions'!L42)</x:f>
        <x:v>4402.182091262847</x:v>
      </x:c>
      <x:c r="M37" s="13" t="n">
        <x:f>MIN(M35+M36,(SUM($I$36:L36)+M36/2)/'Assumptions'!M42)</x:f>
        <x:v>5561.265408329534</x:v>
      </x:c>
      <x:c r="N37" s="3"/>
      <x:c r="O37" s="36" t="str">
        <x:v>New leases use an explicit straight-line principal proxy and half-year additions, not contract-level amortization.</x:v>
      </x:c>
      <x:c r="P37" s="3"/>
      <x:c r="Q37" s="3"/>
    </x:row>
    <x:row r="38" ht="20" customHeight="1">
      <x:c r="C38" s="3" t="str">
        <x:v>New finance lease liabilities, ending</x:v>
      </x:c>
      <x:c r="D38" s="42"/>
      <x:c r="E38" s="42"/>
      <x:c r="F38" s="42"/>
      <x:c r="G38" s="42"/>
      <x:c r="H38" s="12"/>
      <x:c r="I38" s="5" t="n">
        <x:f>SUM(I35:I36)-I37</x:f>
        <x:v>15365.687307692308</x:v>
      </x:c>
      <x:c r="J38" s="5" t="n">
        <x:f>SUM(J35:J36)-J37</x:f>
        <x:v>30127.84040096154</x:v>
      </x:c>
      <x:c r="K38" s="5" t="n">
        <x:f>SUM(K35:K36)-K37</x:f>
        <x:v>43643.72230648077</x:v>
      </x:c>
      <x:c r="L38" s="5" t="n">
        <x:f>SUM(L35:L36)-L37</x:f>
        <x:v>55144.66115041192</x:v>
      </x:c>
      <x:c r="M38" s="5" t="n">
        <x:f>SUM(M35:M36)-M37</x:f>
        <x:v>63816.441050622234</x:v>
      </x:c>
      <x:c r="N38" s="3"/>
      <x:c r="O38" s="3"/>
      <x:c r="P38" s="3"/>
      <x:c r="Q38" s="3"/>
    </x:row>
    <x:row r="39" ht="20" customHeight="1">
      <x:c r="C39" s="20" t="str">
        <x:v>Total finance lease liabilities</x:v>
      </x:c>
      <x:c r="D39" s="50"/>
      <x:c r="E39" s="50"/>
      <x:c r="F39" s="50"/>
      <x:c r="G39" s="50"/>
      <x:c r="H39" s="77" t="n">
        <x:f>SUM('Actuals'!H44,'Actuals'!H53)</x:f>
        <x:v>66594</x:v>
      </x:c>
      <x:c r="I39" s="70" t="n">
        <x:f>SUM(I34,I38)</x:f>
        <x:v>77835.4173076923</x:v>
      </x:c>
      <x:c r="J39" s="70" t="n">
        <x:f>SUM(J34,J38)</x:f>
        <x:v>88114.70825096153</x:v>
      </x:c>
      <x:c r="K39" s="70" t="n">
        <x:f>SUM(K34,K38)</x:f>
        <x:v>97571.99920973077</x:v>
      </x:c>
      <x:c r="L39" s="70" t="n">
        <x:f>SUM(L34,L38)</x:f>
        <x:v>104929.71051430816</x:v>
      </x:c>
      <x:c r="M39" s="70" t="n">
        <x:f>SUM(M34,M38)</x:f>
        <x:v>109298.8176358938</x:v>
      </x:c>
      <x:c r="N39" s="3"/>
      <x:c r="O39" s="3"/>
      <x:c r="P39" s="3"/>
      <x:c r="Q39" s="3"/>
    </x:row>
    <x:row r="40" ht="20" customHeight="1">
      <x:c r="C40" s="3" t="str">
        <x:v>Total finance lease interest</x:v>
      </x:c>
      <x:c r="D40" s="42"/>
      <x:c r="E40" s="42"/>
      <x:c r="F40" s="42"/>
      <x:c r="G40" s="42"/>
      <x:c r="H40" s="76" t="n">
        <x:f>'Actuals'!H139</x:f>
        <x:v>2547</x:v>
      </x:c>
      <x:c r="I40" s="13" t="n">
        <x:f>I32+(I35+I36/2-I37/2)*'Assumptions'!I36</x:f>
        <x:v>3342.457964423077</x:v>
      </x:c>
      <x:c r="J40" s="13" t="n">
        <x:f>J32+(J35+J36/2-J37/2)*'Assumptions'!J36</x:f>
        <x:v>3834.7422234447113</x:v>
      </x:c>
      <x:c r="K40" s="13" t="n">
        <x:f>K32+(K35+K36/2-K37/2)*'Assumptions'!K36</x:f>
        <x:v>4269.2692141674515</x:v>
      </x:c>
      <x:c r="L40" s="13" t="n">
        <x:f>L32+(L35+L36/2-L37/2)*'Assumptions'!L36</x:f>
        <x:v>4649.511088426336</x:v>
      </x:c>
      <x:c r="M40" s="13" t="n">
        <x:f>M32+(M35+M36/2-M37/2)*'Assumptions'!M36</x:f>
        <x:v>4916.9520208986</x:v>
      </x:c>
      <x:c r="N40" s="3"/>
      <x:c r="O40" s="3"/>
      <x:c r="P40" s="3"/>
      <x:c r="Q40" s="3"/>
    </x:row>
    <x:row r="41" ht="20" customHeight="1">
      <x:c r="C41" s="20" t="str">
        <x:v>Total finance lease principal paid</x:v>
      </x:c>
      <x:c r="D41" s="50"/>
      <x:c r="E41" s="50"/>
      <x:c r="F41" s="50"/>
      <x:c r="G41" s="50"/>
      <x:c r="H41" s="77" t="n">
        <x:f>-'Actuals'!H90</x:f>
        <x:v>3101</x:v>
      </x:c>
      <x:c r="I41" s="70" t="n">
        <x:f>SUM(I33,I37)</x:f>
        <x:v>4738.897492307693</x:v>
      </x:c>
      <x:c r="J41" s="70" t="n">
        <x:f>SUM(J33,J37)</x:f>
        <x:v>6351.77345773077</x:v>
      </x:c>
      <x:c r="K41" s="70" t="n">
        <x:f>SUM(K33,K37)</x:f>
        <x:v>7208.13655905077</x:v>
      </x:c>
      <x:c r="L41" s="70" t="n">
        <x:f>SUM(L33,L37)</x:f>
        <x:v>8545.409630616597</x:v>
      </x:c>
      <x:c r="M41" s="70" t="n">
        <x:f>SUM(M33,M37)</x:f>
        <x:v>9863.938186954203</x:v>
      </x:c>
      <x:c r="N41" s="3"/>
      <x:c r="O41" s="3"/>
      <x:c r="P41" s="3"/>
      <x:c r="Q41" s="3"/>
    </x:row>
    <x:row r="42" ht="20" customHeight="1">
      <x:c r="C42" s="3"/>
      <x:c r="D42" s="42"/>
      <x:c r="E42" s="42"/>
      <x:c r="F42" s="42"/>
      <x:c r="G42" s="42"/>
      <x:c r="H42" s="12"/>
      <x:c r="I42" s="13"/>
      <x:c r="J42" s="13"/>
      <x:c r="K42" s="13"/>
      <x:c r="L42" s="13"/>
      <x:c r="M42" s="13"/>
      <x:c r="N42" s="3"/>
      <x:c r="O42" s="3"/>
      <x:c r="P42" s="3"/>
      <x:c r="Q42" s="3"/>
    </x:row>
    <x:row r="43" ht="20" customHeight="1">
      <x:c r="C43" s="3" t="str">
        <x:v>Current finance lease liability</x:v>
      </x:c>
      <x:c r="D43" s="42"/>
      <x:c r="E43" s="42"/>
      <x:c r="F43" s="42"/>
      <x:c r="G43" s="42"/>
      <x:c r="H43" s="76" t="n">
        <x:f>'Actuals'!H44</x:f>
        <x:v>4290</x:v>
      </x:c>
      <x:c r="I43" s="13" t="n">
        <x:f>MIN(I39,MAX(0,'Actuals'!J127-I34*'Assumptions'!I36)+SUM($I$36:I36)/'Assumptions'!I42)</x:f>
        <x:v>5712.117134615386</x:v>
      </x:c>
      <x:c r="J43" s="13" t="n">
        <x:f>MIN(J39,MAX(0,'Actuals'!K127-J34*'Assumptions'!J36)+SUM($I$36:J36)/'Assumptions'!J42)</x:f>
        <x:v>6567.158577596155</x:v>
      </x:c>
      <x:c r="K43" s="13" t="n">
        <x:f>MIN(K39,MAX(0,'Actuals'!L127-K34*'Assumptions'!K36)+SUM($I$36:K36)/'Assumptions'!K42)</x:f>
        <x:v>7933.7511331091355</x:v>
      </x:c>
      <x:c r="L43" s="13" t="n">
        <x:f>MIN(L39,MAX(0,'Actuals'!M127-L34*'Assumptions'!L36)+SUM($I$36:L36)/'Assumptions'!L42)</x:f>
        <x:v>9316.513367394979</x:v>
      </x:c>
      <x:c r="M43" s="13" t="n">
        <x:f>MIN(M39,MAX(0,'Actuals'!M129-M34*'Assumptions'!M36)+SUM($I$36:M36)/'Assumptions'!M42)</x:f>
        <x:v>10604.983281551536</x:v>
      </x:c>
      <x:c r="N43" s="3"/>
      <x:c r="O43" s="3"/>
      <x:c r="P43" s="3"/>
      <x:c r="Q43" s="3"/>
    </x:row>
    <x:row r="44" ht="20" customHeight="1">
      <x:c r="C44" s="20" t="str">
        <x:v>Long-term finance lease liability</x:v>
      </x:c>
      <x:c r="D44" s="50"/>
      <x:c r="E44" s="50"/>
      <x:c r="F44" s="50"/>
      <x:c r="G44" s="50"/>
      <x:c r="H44" s="77" t="n">
        <x:f>'Actuals'!H53</x:f>
        <x:v>62304</x:v>
      </x:c>
      <x:c r="I44" s="70" t="n">
        <x:f>I39-I43</x:f>
        <x:v>72123.30017307692</x:v>
      </x:c>
      <x:c r="J44" s="70" t="n">
        <x:f>J39-J43</x:f>
        <x:v>81547.54967336537</x:v>
      </x:c>
      <x:c r="K44" s="70" t="n">
        <x:f>K39-K43</x:f>
        <x:v>89638.24807662163</x:v>
      </x:c>
      <x:c r="L44" s="70" t="n">
        <x:f>L39-L43</x:f>
        <x:v>95613.19714691318</x:v>
      </x:c>
      <x:c r="M44" s="70" t="n">
        <x:f>M39-M43</x:f>
        <x:v>98693.83435434227</x:v>
      </x:c>
      <x:c r="N44" s="3"/>
      <x:c r="O44" s="3"/>
      <x:c r="P44" s="3"/>
      <x:c r="Q44" s="3"/>
    </x:row>
    <x:row r="45" ht="20" customHeight="1">
      <x:c r="C45" s="3"/>
      <x:c r="D45" s="42"/>
      <x:c r="E45" s="42"/>
      <x:c r="F45" s="42"/>
      <x:c r="G45" s="42"/>
      <x:c r="H45" s="12"/>
      <x:c r="I45" s="13"/>
      <x:c r="J45" s="13"/>
      <x:c r="K45" s="13"/>
      <x:c r="L45" s="13"/>
      <x:c r="M45" s="13"/>
      <x:c r="N45" s="3"/>
      <x:c r="O45" s="3"/>
      <x:c r="P45" s="3"/>
      <x:c r="Q45" s="3"/>
    </x:row>
    <x:row r="46" ht="23" customHeight="1">
      <x:c r="C46" s="10" t="str">
        <x:v>OPERATING LEASES</x:v>
      </x:c>
      <x:c r="D46" s="84"/>
      <x:c r="E46" s="84"/>
      <x:c r="F46" s="84"/>
      <x:c r="G46" s="84"/>
      <x:c r="H46" s="87"/>
      <x:c r="I46" s="16"/>
      <x:c r="J46" s="16"/>
      <x:c r="K46" s="16"/>
      <x:c r="L46" s="16"/>
      <x:c r="M46" s="16"/>
      <x:c r="N46" s="3"/>
      <x:c r="O46" s="3"/>
      <x:c r="P46" s="3"/>
      <x:c r="Q46" s="3"/>
    </x:row>
    <x:row r="47" ht="20" customHeight="1">
      <x:c r="C47" s="3" t="str">
        <x:v>Operating right-of-use assets, opening</x:v>
      </x:c>
      <x:c r="D47" s="42"/>
      <x:c r="E47" s="42"/>
      <x:c r="F47" s="42"/>
      <x:c r="G47" s="42"/>
      <x:c r="H47" s="12"/>
      <x:c r="I47" s="13" t="n">
        <x:f>'Actuals'!H32</x:f>
        <x:v>24177</x:v>
      </x:c>
      <x:c r="J47" s="5" t="n">
        <x:f>I50</x:f>
        <x:v>31133.966425000002</x:v>
      </x:c>
      <x:c r="K47" s="5" t="n">
        <x:f>J50</x:f>
        <x:v>39012.23690733333</x:v>
      </x:c>
      <x:c r="L47" s="5" t="n">
        <x:f>K50</x:f>
        <x:v>47786.839314112774</x:v>
      </x:c>
      <x:c r="M47" s="5" t="n">
        <x:f>L50</x:f>
        <x:v>54400.226952355144</x:v>
      </x:c>
      <x:c r="N47" s="3"/>
      <x:c r="O47" s="3"/>
      <x:c r="P47" s="3"/>
      <x:c r="Q47" s="3"/>
    </x:row>
    <x:row r="48" ht="20" customHeight="1">
      <x:c r="C48" s="3" t="str">
        <x:v>Operating right-of-use assets added</x:v>
      </x:c>
      <x:c r="D48" s="42"/>
      <x:c r="E48" s="42"/>
      <x:c r="F48" s="42"/>
      <x:c r="G48" s="42"/>
      <x:c r="H48" s="12"/>
      <x:c r="I48" s="13" t="n">
        <x:f>'Revenue'!I27*'Assumptions'!I18</x:f>
        <x:v>11985.2361</x:v>
      </x:c>
      <x:c r="J48" s="13" t="n">
        <x:f>'Revenue'!J27*'Assumptions'!J18</x:f>
        <x:v>14255.198058</x:v>
      </x:c>
      <x:c r="K48" s="13" t="n">
        <x:f>'Revenue'!K27*'Assumptions'!K18</x:f>
        <x:v>16665.42751782</x:v>
      </x:c>
      <x:c r="L48" s="13" t="n">
        <x:f>'Revenue'!L27*'Assumptions'!L18</x:f>
        <x:v>15903.120935194</x:v>
      </x:c>
      <x:c r="M48" s="13" t="n">
        <x:f>'Revenue'!M27*'Assumptions'!M18</x:f>
        <x:v>17791.306635674817</x:v>
      </x:c>
      <x:c r="N48" s="3"/>
      <x:c r="O48" s="3"/>
      <x:c r="P48" s="3"/>
      <x:c r="Q48" s="3"/>
    </x:row>
    <x:row r="49" ht="20" customHeight="1">
      <x:c r="C49" s="3" t="str">
        <x:v>Operating right-of-use amortization</x:v>
      </x:c>
      <x:c r="D49" s="42"/>
      <x:c r="E49" s="42"/>
      <x:c r="F49" s="42"/>
      <x:c r="G49" s="42"/>
      <x:c r="H49" s="12"/>
      <x:c r="I49" s="13" t="n">
        <x:f>MIN(SUM(I47:I48),(I47+I48/2)/'Assumptions'!I43)</x:f>
        <x:v>5028.2696750000005</x:v>
      </x:c>
      <x:c r="J49" s="13" t="n">
        <x:f>MIN(SUM(J47:J48),(J47+J48/2)/'Assumptions'!J43)</x:f>
        <x:v>6376.9275756666675</x:v>
      </x:c>
      <x:c r="K49" s="13" t="n">
        <x:f>MIN(SUM(K47:K48),(K47+K48/2)/'Assumptions'!K43)</x:f>
        <x:v>7890.825111040555</x:v>
      </x:c>
      <x:c r="L49" s="13" t="n">
        <x:f>MIN(SUM(L47:L48),(L47+L48/2)/'Assumptions'!L43)</x:f>
        <x:v>9289.73329695163</x:v>
      </x:c>
      <x:c r="M49" s="13" t="n">
        <x:f>MIN(SUM(M47:M48),(M47+M48/2)/'Assumptions'!M43)</x:f>
        <x:v>10549.313378365425</x:v>
      </x:c>
      <x:c r="N49" s="3"/>
      <x:c r="O49" s="3"/>
      <x:c r="P49" s="3"/>
      <x:c r="Q49" s="3"/>
    </x:row>
    <x:row r="50" ht="20" customHeight="1">
      <x:c r="C50" s="20" t="str">
        <x:v>Operating right-of-use assets, ending</x:v>
      </x:c>
      <x:c r="D50" s="50"/>
      <x:c r="E50" s="50"/>
      <x:c r="F50" s="50"/>
      <x:c r="G50" s="50"/>
      <x:c r="H50" s="77" t="n">
        <x:f>'Actuals'!H32</x:f>
        <x:v>24177</x:v>
      </x:c>
      <x:c r="I50" s="70" t="n">
        <x:f>SUM(I47:I48)-I49</x:f>
        <x:v>31133.966425000002</x:v>
      </x:c>
      <x:c r="J50" s="70" t="n">
        <x:f>SUM(J47:J48)-J49</x:f>
        <x:v>39012.23690733333</x:v>
      </x:c>
      <x:c r="K50" s="70" t="n">
        <x:f>SUM(K47:K48)-K49</x:f>
        <x:v>47786.839314112774</x:v>
      </x:c>
      <x:c r="L50" s="70" t="n">
        <x:f>SUM(L47:L48)-L49</x:f>
        <x:v>54400.226952355144</x:v>
      </x:c>
      <x:c r="M50" s="70" t="n">
        <x:f>SUM(M47:M48)-M49</x:f>
        <x:v>61642.22020966454</x:v>
      </x:c>
      <x:c r="N50" s="3"/>
      <x:c r="O50" s="3"/>
      <x:c r="P50" s="3"/>
      <x:c r="Q50" s="3"/>
    </x:row>
    <x:row r="51" ht="20" customHeight="1">
      <x:c r="C51" s="3" t="str">
        <x:v>Operating lease liabilities, opening</x:v>
      </x:c>
      <x:c r="D51" s="42"/>
      <x:c r="E51" s="42"/>
      <x:c r="F51" s="42"/>
      <x:c r="G51" s="42"/>
      <x:c r="H51" s="12"/>
      <x:c r="I51" s="13" t="n">
        <x:f>SUM('Actuals'!H51,'Actuals'!H120)</x:f>
        <x:v>21925</x:v>
      </x:c>
      <x:c r="J51" s="5" t="n">
        <x:f>I55</x:f>
        <x:v>28881.966425000002</x:v>
      </x:c>
      <x:c r="K51" s="5" t="n">
        <x:f>J55</x:f>
        <x:v>36760.23690733333</x:v>
      </x:c>
      <x:c r="L51" s="5" t="n">
        <x:f>K55</x:f>
        <x:v>45534.839314112774</x:v>
      </x:c>
      <x:c r="M51" s="5" t="n">
        <x:f>L55</x:f>
        <x:v>52148.226952355144</x:v>
      </x:c>
      <x:c r="N51" s="3"/>
      <x:c r="O51" s="3"/>
      <x:c r="P51" s="3"/>
      <x:c r="Q51" s="3"/>
    </x:row>
    <x:row r="52" ht="20" customHeight="1">
      <x:c r="C52" s="3" t="str">
        <x:v>Operating lease imputed interest</x:v>
      </x:c>
      <x:c r="D52" s="42"/>
      <x:c r="E52" s="42"/>
      <x:c r="F52" s="42"/>
      <x:c r="G52" s="42"/>
      <x:c r="H52" s="12"/>
      <x:c r="I52" s="13" t="n">
        <x:f>(I51+I48/2)*'Assumptions'!I37</x:f>
        <x:v>1032.9518678499999</x:v>
      </x:c>
      <x:c r="J52" s="13" t="n">
        <x:f>(J51+J48/2)*'Assumptions'!J37</x:f>
        <x:v>1332.353921798</x:v>
      </x:c>
      <x:c r="K52" s="13" t="n">
        <x:f>(K51+K48/2)*'Assumptions'!K37</x:f>
        <x:v>1668.4391746510032</x:v>
      </x:c>
      <x:c r="L52" s="13" t="n">
        <x:f>(L51+L48/2)*'Assumptions'!L37</x:f>
        <x:v>1978.9967919232618</x:v>
      </x:c>
      <x:c r="M52" s="13" t="n">
        <x:f>(M51+M48/2)*'Assumptions'!M37</x:f>
        <x:v>2258.6235699971244</x:v>
      </x:c>
      <x:c r="N52" s="3"/>
      <x:c r="O52" s="3"/>
      <x:c r="P52" s="3"/>
      <x:c r="Q52" s="3"/>
    </x:row>
    <x:row r="53" ht="20" customHeight="1">
      <x:c r="C53" s="3" t="str">
        <x:v>Operating lease cash payments</x:v>
      </x:c>
      <x:c r="D53" s="42"/>
      <x:c r="E53" s="42"/>
      <x:c r="F53" s="42"/>
      <x:c r="G53" s="42"/>
      <x:c r="H53" s="12"/>
      <x:c r="I53" s="5" t="n">
        <x:f>SUM(I49,I52)</x:f>
        <x:v>6061.22154285</x:v>
      </x:c>
      <x:c r="J53" s="5" t="n">
        <x:f>SUM(J49,J52)</x:f>
        <x:v>7709.281497464668</x:v>
      </x:c>
      <x:c r="K53" s="5" t="n">
        <x:f>SUM(K49,K52)</x:f>
        <x:v>9559.264285691559</x:v>
      </x:c>
      <x:c r="L53" s="5" t="n">
        <x:f>SUM(L49,L52)</x:f>
        <x:v>11268.730088874892</x:v>
      </x:c>
      <x:c r="M53" s="5" t="n">
        <x:f>SUM(M49,M52)</x:f>
        <x:v>12807.936948362549</x:v>
      </x:c>
      <x:c r="N53" s="3"/>
      <x:c r="O53" s="3"/>
      <x:c r="P53" s="3"/>
      <x:c r="Q53" s="3"/>
    </x:row>
    <x:row r="54" ht="20" customHeight="1">
      <x:c r="C54" s="20" t="str">
        <x:v>Operating lease expense in cost of revenue</x:v>
      </x:c>
      <x:c r="D54" s="50"/>
      <x:c r="E54" s="50"/>
      <x:c r="F54" s="50"/>
      <x:c r="G54" s="50"/>
      <x:c r="H54" s="77" t="n">
        <x:f>'Actuals'!H136</x:f>
        <x:v>6968</x:v>
      </x:c>
      <x:c r="I54" s="70" t="n">
        <x:f>I53</x:f>
        <x:v>6061.22154285</x:v>
      </x:c>
      <x:c r="J54" s="70" t="n">
        <x:f>J53</x:f>
        <x:v>7709.281497464668</x:v>
      </x:c>
      <x:c r="K54" s="70" t="n">
        <x:f>K53</x:f>
        <x:v>9559.264285691559</x:v>
      </x:c>
      <x:c r="L54" s="70" t="n">
        <x:f>L53</x:f>
        <x:v>11268.730088874892</x:v>
      </x:c>
      <x:c r="M54" s="70" t="n">
        <x:f>M53</x:f>
        <x:v>12807.936948362549</x:v>
      </x:c>
      <x:c r="N54" s="3"/>
      <x:c r="O54" s="36" t="str">
        <x:v>Simplification: operating lease expense equals modeled cash rent. Lease additions are noncash.</x:v>
      </x:c>
      <x:c r="P54" s="3"/>
      <x:c r="Q54" s="3"/>
    </x:row>
    <x:row r="55" ht="20" customHeight="1">
      <x:c r="C55" s="20" t="str">
        <x:v>Operating lease liabilities, ending</x:v>
      </x:c>
      <x:c r="D55" s="50"/>
      <x:c r="E55" s="50"/>
      <x:c r="F55" s="50"/>
      <x:c r="G55" s="50"/>
      <x:c r="H55" s="77" t="n">
        <x:f>SUM('Actuals'!H120,'Actuals'!H51)</x:f>
        <x:v>21925</x:v>
      </x:c>
      <x:c r="I55" s="70" t="n">
        <x:f>SUM(I51,I48)-I49</x:f>
        <x:v>28881.966425000002</x:v>
      </x:c>
      <x:c r="J55" s="70" t="n">
        <x:f>SUM(J51,J48)-J49</x:f>
        <x:v>36760.23690733333</x:v>
      </x:c>
      <x:c r="K55" s="70" t="n">
        <x:f>SUM(K51,K48)-K49</x:f>
        <x:v>45534.839314112774</x:v>
      </x:c>
      <x:c r="L55" s="70" t="n">
        <x:f>SUM(L51,L48)-L49</x:f>
        <x:v>52148.226952355144</x:v>
      </x:c>
      <x:c r="M55" s="70" t="n">
        <x:f>SUM(M51,M48)-M49</x:f>
        <x:v>59390.22020966454</x:v>
      </x:c>
      <x:c r="N55" s="3"/>
      <x:c r="O55" s="3"/>
      <x:c r="P55" s="3"/>
      <x:c r="Q55" s="3"/>
    </x:row>
    <x:row r="56" ht="20" customHeight="1">
      <x:c r="C56" s="3" t="str">
        <x:v>Current operating lease liability</x:v>
      </x:c>
      <x:c r="D56" s="42"/>
      <x:c r="E56" s="42"/>
      <x:c r="F56" s="42"/>
      <x:c r="G56" s="42"/>
      <x:c r="H56" s="76" t="n">
        <x:f>'Actuals'!H120</x:f>
        <x:v>5393</x:v>
      </x:c>
      <x:c r="I56" s="13" t="n">
        <x:f>MIN(I55,I55/'Assumptions'!I43)</x:f>
        <x:v>4813.661070833334</x:v>
      </x:c>
      <x:c r="J56" s="13" t="n">
        <x:f>MIN(J55,J55/'Assumptions'!J43)</x:f>
        <x:v>6126.706151222222</x:v>
      </x:c>
      <x:c r="K56" s="13" t="n">
        <x:f>MIN(K55,K55/'Assumptions'!K43)</x:f>
        <x:v>7589.139885685462</x:v>
      </x:c>
      <x:c r="L56" s="13" t="n">
        <x:f>MIN(L55,L55/'Assumptions'!L43)</x:f>
        <x:v>8691.371158725857</x:v>
      </x:c>
      <x:c r="M56" s="13" t="n">
        <x:f>MIN(M55,M55/'Assumptions'!M43)</x:f>
        <x:v>9898.37003494409</x:v>
      </x:c>
      <x:c r="N56" s="3"/>
      <x:c r="O56" s="3"/>
      <x:c r="P56" s="3"/>
      <x:c r="Q56" s="3"/>
    </x:row>
    <x:row r="57" ht="20" customHeight="1">
      <x:c r="C57" s="20" t="str">
        <x:v>Long-term operating lease liability</x:v>
      </x:c>
      <x:c r="D57" s="50"/>
      <x:c r="E57" s="50"/>
      <x:c r="F57" s="50"/>
      <x:c r="G57" s="50"/>
      <x:c r="H57" s="77" t="n">
        <x:f>'Actuals'!H51</x:f>
        <x:v>16532</x:v>
      </x:c>
      <x:c r="I57" s="70" t="n">
        <x:f>I55-I56</x:f>
        <x:v>24068.305354166667</x:v>
      </x:c>
      <x:c r="J57" s="70" t="n">
        <x:f>J55-J56</x:f>
        <x:v>30633.53075611111</x:v>
      </x:c>
      <x:c r="K57" s="70" t="n">
        <x:f>K55-K56</x:f>
        <x:v>37945.69942842731</x:v>
      </x:c>
      <x:c r="L57" s="70" t="n">
        <x:f>L55-L56</x:f>
        <x:v>43456.855793629285</x:v>
      </x:c>
      <x:c r="M57" s="70" t="n">
        <x:f>M55-M56</x:f>
        <x:v>49491.85017472045</x:v>
      </x:c>
      <x:c r="N57" s="3"/>
      <x:c r="O57" s="3"/>
      <x:c r="P57" s="3"/>
      <x:c r="Q57" s="3"/>
    </x:row>
    <x:row r="58" ht="20" customHeight="1">
      <x:c r="C58" s="3"/>
      <x:c r="D58" s="42"/>
      <x:c r="E58" s="42"/>
      <x:c r="F58" s="42"/>
      <x:c r="G58" s="42"/>
      <x:c r="H58" s="12"/>
      <x:c r="I58" s="13"/>
      <x:c r="J58" s="13"/>
      <x:c r="K58" s="13"/>
      <x:c r="L58" s="13"/>
      <x:c r="M58" s="13"/>
      <x:c r="N58" s="3"/>
      <x:c r="O58" s="3"/>
      <x:c r="P58" s="3"/>
      <x:c r="Q58" s="3"/>
    </x:row>
    <x:row r="59" ht="20" customHeight="1">
      <x:c r="C59" s="3"/>
      <x:c r="D59" s="42"/>
      <x:c r="E59" s="42"/>
      <x:c r="F59" s="42"/>
      <x:c r="G59" s="42"/>
      <x:c r="H59" s="12"/>
      <x:c r="I59" s="13"/>
      <x:c r="J59" s="13"/>
      <x:c r="K59" s="13"/>
      <x:c r="L59" s="13"/>
      <x:c r="M59" s="13"/>
      <x:c r="N59" s="3"/>
      <x:c r="O59" s="3"/>
      <x:c r="P59" s="3"/>
      <x:c r="Q59" s="3"/>
    </x:row>
    <x:row r="60" ht="20" customHeight="1">
      <x:c r="C60" s="3"/>
      <x:c r="D60" s="42"/>
      <x:c r="E60" s="42"/>
      <x:c r="F60" s="42"/>
      <x:c r="G60" s="42"/>
      <x:c r="H60" s="12"/>
      <x:c r="I60" s="13"/>
      <x:c r="J60" s="13"/>
      <x:c r="K60" s="13"/>
      <x:c r="L60" s="13"/>
      <x:c r="M60" s="13"/>
      <x:c r="N60" s="3"/>
      <x:c r="O60" s="3"/>
      <x:c r="P60" s="3"/>
      <x:c r="Q60" s="3"/>
    </x:row>
    <x:row r="61" ht="20" customHeight="1">
      <x:c r="C61" s="3"/>
      <x:c r="D61" s="42"/>
      <x:c r="E61" s="42"/>
      <x:c r="F61" s="42"/>
      <x:c r="G61" s="42"/>
      <x:c r="H61" s="12"/>
      <x:c r="I61" s="13"/>
      <x:c r="J61" s="13"/>
      <x:c r="K61" s="13"/>
      <x:c r="L61" s="13"/>
      <x:c r="M61" s="13"/>
      <x:c r="N61" s="3"/>
      <x:c r="O61" s="3"/>
      <x:c r="P61" s="3"/>
      <x:c r="Q61" s="3"/>
    </x:row>
    <x:row r="62" ht="20" customHeight="1">
      <x:c r="C62" s="3"/>
      <x:c r="D62" s="42"/>
      <x:c r="E62" s="42"/>
      <x:c r="F62" s="42"/>
      <x:c r="G62" s="42"/>
      <x:c r="H62" s="12"/>
      <x:c r="I62" s="13"/>
      <x:c r="J62" s="13"/>
      <x:c r="K62" s="13"/>
      <x:c r="L62" s="13"/>
      <x:c r="M62" s="13"/>
      <x:c r="N62" s="3"/>
      <x:c r="O62" s="3"/>
      <x:c r="P62" s="3"/>
      <x:c r="Q62" s="3"/>
    </x:row>
    <x:row r="63" ht="20" customHeight="1">
      <x:c r="C63" s="3"/>
      <x:c r="D63" s="42"/>
      <x:c r="E63" s="42"/>
      <x:c r="F63" s="42"/>
      <x:c r="G63" s="42"/>
      <x:c r="H63" s="12"/>
      <x:c r="I63" s="13"/>
      <x:c r="J63" s="13"/>
      <x:c r="K63" s="13"/>
      <x:c r="L63" s="13"/>
      <x:c r="M63" s="13"/>
      <x:c r="N63" s="3"/>
      <x:c r="O63" s="3"/>
      <x:c r="P63" s="3"/>
      <x:c r="Q63" s="3"/>
    </x:row>
    <x:row r="64" ht="20" customHeight="1">
      <x:c r="C64" s="3"/>
      <x:c r="D64" s="42"/>
      <x:c r="E64" s="42"/>
      <x:c r="F64" s="42"/>
      <x:c r="G64" s="42"/>
      <x:c r="H64" s="12"/>
      <x:c r="I64" s="13"/>
      <x:c r="J64" s="13"/>
      <x:c r="K64" s="13"/>
      <x:c r="L64" s="13"/>
      <x:c r="M64" s="13"/>
      <x:c r="N64" s="3"/>
      <x:c r="O64" s="3"/>
      <x:c r="P64" s="3"/>
      <x:c r="Q64" s="3"/>
    </x:row>
    <x:row r="65" ht="20" customHeight="1">
      <x:c r="C65" s="3"/>
      <x:c r="D65" s="42"/>
      <x:c r="E65" s="42"/>
      <x:c r="F65" s="42"/>
      <x:c r="G65" s="42"/>
      <x:c r="H65" s="12"/>
      <x:c r="I65" s="13"/>
      <x:c r="J65" s="13"/>
      <x:c r="K65" s="13"/>
      <x:c r="L65" s="13"/>
      <x:c r="M65" s="13"/>
      <x:c r="N65" s="3"/>
      <x:c r="O65" s="3"/>
      <x:c r="P65" s="3"/>
      <x:c r="Q65" s="3"/>
    </x:row>
    <x:row r="66" ht="20" customHeight="1">
      <x:c r="C66" s="3"/>
      <x:c r="D66" s="42"/>
      <x:c r="E66" s="42"/>
      <x:c r="F66" s="42"/>
      <x:c r="G66" s="42"/>
      <x:c r="H66" s="12"/>
      <x:c r="I66" s="13"/>
      <x:c r="J66" s="13"/>
      <x:c r="K66" s="13"/>
      <x:c r="L66" s="13"/>
      <x:c r="M66" s="13"/>
      <x:c r="N66" s="3"/>
      <x:c r="O66" s="3"/>
      <x:c r="P66" s="3"/>
      <x:c r="Q66" s="3"/>
    </x:row>
    <x:row r="67" ht="20" customHeight="1">
      <x:c r="C67" s="3"/>
      <x:c r="D67" s="42"/>
      <x:c r="E67" s="42"/>
      <x:c r="F67" s="42"/>
      <x:c r="G67" s="42"/>
      <x:c r="H67" s="12"/>
      <x:c r="I67" s="13"/>
      <x:c r="J67" s="13"/>
      <x:c r="K67" s="13"/>
      <x:c r="L67" s="13"/>
      <x:c r="M67" s="13"/>
      <x:c r="N67" s="3"/>
      <x:c r="O67" s="3"/>
      <x:c r="P67" s="3"/>
      <x:c r="Q67" s="3"/>
    </x:row>
    <x:row r="68" ht="20" customHeight="1">
      <x:c r="C68" s="3"/>
      <x:c r="D68" s="42"/>
      <x:c r="E68" s="42"/>
      <x:c r="F68" s="42"/>
      <x:c r="G68" s="42"/>
      <x:c r="H68" s="12"/>
      <x:c r="I68" s="13"/>
      <x:c r="J68" s="13"/>
      <x:c r="K68" s="13"/>
      <x:c r="L68" s="13"/>
      <x:c r="M68" s="13"/>
      <x:c r="N68" s="3"/>
      <x:c r="O68" s="3"/>
      <x:c r="P68" s="3"/>
      <x:c r="Q68" s="3"/>
    </x:row>
    <x:row r="69" ht="20" customHeight="1">
      <x:c r="C69" s="3"/>
      <x:c r="D69" s="42"/>
      <x:c r="E69" s="42"/>
      <x:c r="F69" s="42"/>
      <x:c r="G69" s="42"/>
      <x:c r="H69" s="12"/>
      <x:c r="I69" s="13"/>
      <x:c r="J69" s="13"/>
      <x:c r="K69" s="13"/>
      <x:c r="L69" s="13"/>
      <x:c r="M69" s="13"/>
      <x:c r="N69" s="3"/>
      <x:c r="O69" s="3"/>
      <x:c r="P69" s="3"/>
      <x:c r="Q69" s="3"/>
    </x:row>
    <x:row r="70" ht="20" customHeight="1">
      <x:c r="C70" s="3"/>
      <x:c r="D70" s="42"/>
      <x:c r="E70" s="42"/>
      <x:c r="F70" s="42"/>
      <x:c r="G70" s="42"/>
      <x:c r="H70" s="12"/>
      <x:c r="I70" s="13"/>
      <x:c r="J70" s="13"/>
      <x:c r="K70" s="13"/>
      <x:c r="L70" s="13"/>
      <x:c r="M70" s="13"/>
      <x:c r="N70" s="3"/>
      <x:c r="O70" s="3"/>
      <x:c r="P70" s="3"/>
      <x:c r="Q70" s="3"/>
    </x:row>
    <x:row r="71" ht="20" customHeight="1">
      <x:c r="C71" s="3"/>
      <x:c r="D71" s="42"/>
      <x:c r="E71" s="42"/>
      <x:c r="F71" s="42"/>
      <x:c r="G71" s="42"/>
      <x:c r="H71" s="12"/>
      <x:c r="I71" s="13"/>
      <x:c r="J71" s="13"/>
      <x:c r="K71" s="13"/>
      <x:c r="L71" s="13"/>
      <x:c r="M71" s="13"/>
      <x:c r="N71" s="3"/>
      <x:c r="O71" s="3"/>
      <x:c r="P71" s="3"/>
      <x:c r="Q71" s="3"/>
    </x:row>
    <x:row r="72" ht="20" customHeight="1">
      <x:c r="C72" s="3"/>
      <x:c r="D72" s="42"/>
      <x:c r="E72" s="42"/>
      <x:c r="F72" s="42"/>
      <x:c r="G72" s="42"/>
      <x:c r="H72" s="12"/>
      <x:c r="I72" s="13"/>
      <x:c r="J72" s="13"/>
      <x:c r="K72" s="13"/>
      <x:c r="L72" s="13"/>
      <x:c r="M72" s="13"/>
      <x:c r="N72" s="3"/>
      <x:c r="O72" s="3"/>
      <x:c r="P72" s="3"/>
      <x:c r="Q72" s="3"/>
    </x:row>
    <x:row r="73" ht="20" customHeight="1">
      <x:c r="C73" s="3"/>
      <x:c r="D73" s="42"/>
      <x:c r="E73" s="42"/>
      <x:c r="F73" s="42"/>
      <x:c r="G73" s="42"/>
      <x:c r="H73" s="12"/>
      <x:c r="I73" s="13"/>
      <x:c r="J73" s="13"/>
      <x:c r="K73" s="13"/>
      <x:c r="L73" s="13"/>
      <x:c r="M73" s="13"/>
      <x:c r="N73" s="3"/>
      <x:c r="O73" s="3"/>
      <x:c r="P73" s="3"/>
      <x:c r="Q73" s="3"/>
    </x:row>
    <x:row r="74" ht="20" customHeight="1">
      <x:c r="C74" s="3"/>
      <x:c r="D74" s="42"/>
      <x:c r="E74" s="42"/>
      <x:c r="F74" s="42"/>
      <x:c r="G74" s="42"/>
      <x:c r="H74" s="12"/>
      <x:c r="I74" s="13"/>
      <x:c r="J74" s="13"/>
      <x:c r="K74" s="13"/>
      <x:c r="L74" s="13"/>
      <x:c r="M74" s="13"/>
      <x:c r="N74" s="3"/>
      <x:c r="O74" s="3"/>
      <x:c r="P74" s="3"/>
      <x:c r="Q74" s="3"/>
    </x:row>
    <x:row r="75" ht="20" customHeight="1">
      <x:c r="C75" s="3"/>
      <x:c r="D75" s="42"/>
      <x:c r="E75" s="42"/>
      <x:c r="F75" s="42"/>
      <x:c r="G75" s="42"/>
      <x:c r="H75" s="12"/>
      <x:c r="I75" s="13"/>
      <x:c r="J75" s="13"/>
      <x:c r="K75" s="13"/>
      <x:c r="L75" s="13"/>
      <x:c r="M75" s="13"/>
      <x:c r="N75" s="3"/>
      <x:c r="O75" s="3"/>
      <x:c r="P75" s="3"/>
      <x:c r="Q75" s="3"/>
    </x:row>
    <x:row r="76" ht="20" customHeight="1">
      <x:c r="C76" s="3"/>
      <x:c r="D76" s="42"/>
      <x:c r="E76" s="42"/>
      <x:c r="F76" s="42"/>
      <x:c r="G76" s="42"/>
      <x:c r="H76" s="12"/>
      <x:c r="I76" s="13"/>
      <x:c r="J76" s="13"/>
      <x:c r="K76" s="13"/>
      <x:c r="L76" s="13"/>
      <x:c r="M76" s="13"/>
      <x:c r="N76" s="3"/>
      <x:c r="O76" s="3"/>
      <x:c r="P76" s="3"/>
      <x:c r="Q76" s="3"/>
    </x:row>
    <x:row r="77" ht="20" customHeight="1">
      <x:c r="C77" s="3"/>
      <x:c r="D77" s="42"/>
      <x:c r="E77" s="42"/>
      <x:c r="F77" s="42"/>
      <x:c r="G77" s="42"/>
      <x:c r="H77" s="12"/>
      <x:c r="I77" s="13"/>
      <x:c r="J77" s="13"/>
      <x:c r="K77" s="13"/>
      <x:c r="L77" s="13"/>
      <x:c r="M77" s="13"/>
      <x:c r="N77" s="3"/>
      <x:c r="O77" s="3"/>
      <x:c r="P77" s="3"/>
      <x:c r="Q77" s="3"/>
    </x:row>
    <x:row r="78" ht="20" customHeight="1">
      <x:c r="C78" s="3"/>
      <x:c r="D78" s="42"/>
      <x:c r="E78" s="42"/>
      <x:c r="F78" s="42"/>
      <x:c r="G78" s="42"/>
      <x:c r="H78" s="12"/>
      <x:c r="I78" s="13"/>
      <x:c r="J78" s="13"/>
      <x:c r="K78" s="13"/>
      <x:c r="L78" s="13"/>
      <x:c r="M78" s="13"/>
      <x:c r="N78" s="3"/>
      <x:c r="O78" s="3"/>
      <x:c r="P78" s="3"/>
      <x:c r="Q78" s="3"/>
    </x:row>
    <x:row r="79" ht="20" customHeight="1">
      <x:c r="C79" s="3"/>
      <x:c r="D79" s="42"/>
      <x:c r="E79" s="42"/>
      <x:c r="F79" s="42"/>
      <x:c r="G79" s="42"/>
      <x:c r="H79" s="12"/>
      <x:c r="I79" s="13"/>
      <x:c r="J79" s="13"/>
      <x:c r="K79" s="13"/>
      <x:c r="L79" s="13"/>
      <x:c r="M79" s="13"/>
      <x:c r="N79" s="3"/>
      <x:c r="O79" s="3"/>
      <x:c r="P79" s="3"/>
      <x:c r="Q79" s="3"/>
    </x:row>
    <x:row r="80" ht="20" customHeight="1">
      <x:c r="C80" s="3"/>
      <x:c r="D80" s="42"/>
      <x:c r="E80" s="42"/>
      <x:c r="F80" s="42"/>
      <x:c r="G80" s="42"/>
      <x:c r="H80" s="12"/>
      <x:c r="I80" s="13"/>
      <x:c r="J80" s="13"/>
      <x:c r="K80" s="13"/>
      <x:c r="L80" s="13"/>
      <x:c r="M80" s="13"/>
      <x:c r="N80" s="3"/>
      <x:c r="O80" s="3"/>
      <x:c r="P80" s="3"/>
      <x:c r="Q80" s="3"/>
    </x:row>
    <x:row r="81" ht="20" customHeight="1">
      <x:c r="C81" s="3"/>
      <x:c r="D81" s="42"/>
      <x:c r="E81" s="42"/>
      <x:c r="F81" s="42"/>
      <x:c r="G81" s="42"/>
      <x:c r="H81" s="12"/>
      <x:c r="I81" s="13"/>
      <x:c r="J81" s="13"/>
      <x:c r="K81" s="13"/>
      <x:c r="L81" s="13"/>
      <x:c r="M81" s="13"/>
      <x:c r="N81" s="3"/>
      <x:c r="O81" s="3"/>
      <x:c r="P81" s="3"/>
      <x:c r="Q81" s="3"/>
    </x:row>
    <x:row r="82" ht="20" customHeight="1">
      <x:c r="C82" s="3"/>
      <x:c r="D82" s="42"/>
      <x:c r="E82" s="42"/>
      <x:c r="F82" s="42"/>
      <x:c r="G82" s="42"/>
      <x:c r="H82" s="12"/>
      <x:c r="I82" s="13"/>
      <x:c r="J82" s="13"/>
      <x:c r="K82" s="13"/>
      <x:c r="L82" s="13"/>
      <x:c r="M82" s="13"/>
      <x:c r="N82" s="3"/>
      <x:c r="O82" s="3"/>
      <x:c r="P82" s="3"/>
      <x:c r="Q82" s="3"/>
    </x:row>
    <x:row r="83" ht="20" customHeight="1">
      <x:c r="C83" s="3"/>
      <x:c r="D83" s="42"/>
      <x:c r="E83" s="42"/>
      <x:c r="F83" s="42"/>
      <x:c r="G83" s="42"/>
      <x:c r="H83" s="12"/>
      <x:c r="I83" s="13"/>
      <x:c r="J83" s="13"/>
      <x:c r="K83" s="13"/>
      <x:c r="L83" s="13"/>
      <x:c r="M83" s="13"/>
      <x:c r="N83" s="3"/>
      <x:c r="O83" s="3"/>
      <x:c r="P83" s="3"/>
      <x:c r="Q83" s="3"/>
    </x:row>
    <x:row r="84" ht="20" customHeight="1">
      <x:c r="C84" s="3"/>
      <x:c r="D84" s="42"/>
      <x:c r="E84" s="42"/>
      <x:c r="F84" s="42"/>
      <x:c r="G84" s="42"/>
      <x:c r="H84" s="12"/>
      <x:c r="I84" s="13"/>
      <x:c r="J84" s="13"/>
      <x:c r="K84" s="13"/>
      <x:c r="L84" s="13"/>
      <x:c r="M84" s="13"/>
      <x:c r="N84" s="3"/>
      <x:c r="O84" s="3"/>
      <x:c r="P84" s="3"/>
      <x:c r="Q84" s="3"/>
    </x:row>
    <x:row r="85" ht="20" customHeight="1">
      <x:c r="C85" s="3"/>
      <x:c r="D85" s="42"/>
      <x:c r="E85" s="42"/>
      <x:c r="F85" s="42"/>
      <x:c r="G85" s="42"/>
      <x:c r="H85" s="12"/>
      <x:c r="I85" s="13"/>
      <x:c r="J85" s="13"/>
      <x:c r="K85" s="13"/>
      <x:c r="L85" s="13"/>
      <x:c r="M85" s="13"/>
      <x:c r="N85" s="3"/>
      <x:c r="O85" s="3"/>
      <x:c r="P85" s="3"/>
      <x:c r="Q85" s="3"/>
    </x:row>
    <x:row r="86" ht="20" customHeight="1">
      <x:c r="C86" s="3"/>
      <x:c r="D86" s="42"/>
      <x:c r="E86" s="42"/>
      <x:c r="F86" s="42"/>
      <x:c r="G86" s="42"/>
      <x:c r="H86" s="12"/>
      <x:c r="I86" s="13"/>
      <x:c r="J86" s="13"/>
      <x:c r="K86" s="13"/>
      <x:c r="L86" s="13"/>
      <x:c r="M86" s="13"/>
      <x:c r="N86" s="3"/>
      <x:c r="O86" s="3"/>
      <x:c r="P86" s="3"/>
      <x:c r="Q86" s="3"/>
    </x:row>
    <x:row r="87" ht="20" customHeight="1">
      <x:c r="C87" s="3"/>
      <x:c r="D87" s="42"/>
      <x:c r="E87" s="42"/>
      <x:c r="F87" s="42"/>
      <x:c r="G87" s="42"/>
      <x:c r="H87" s="12"/>
      <x:c r="I87" s="13"/>
      <x:c r="J87" s="13"/>
      <x:c r="K87" s="13"/>
      <x:c r="L87" s="13"/>
      <x:c r="M87" s="13"/>
      <x:c r="N87" s="3"/>
      <x:c r="O87" s="3"/>
      <x:c r="P87" s="3"/>
      <x:c r="Q87" s="3"/>
    </x:row>
    <x:row r="88" ht="20" customHeight="1">
      <x:c r="C88" s="3"/>
      <x:c r="D88" s="42"/>
      <x:c r="E88" s="42"/>
      <x:c r="F88" s="42"/>
      <x:c r="G88" s="42"/>
      <x:c r="H88" s="12"/>
      <x:c r="I88" s="13"/>
      <x:c r="J88" s="13"/>
      <x:c r="K88" s="13"/>
      <x:c r="L88" s="13"/>
      <x:c r="M88" s="13"/>
      <x:c r="N88" s="3"/>
      <x:c r="O88" s="3"/>
      <x:c r="P88" s="3"/>
      <x:c r="Q88" s="3"/>
    </x:row>
    <x:row r="89" ht="20" customHeight="1">
      <x:c r="C89" s="3"/>
      <x:c r="D89" s="42"/>
      <x:c r="E89" s="42"/>
      <x:c r="F89" s="42"/>
      <x:c r="G89" s="42"/>
      <x:c r="H89" s="12"/>
      <x:c r="I89" s="13"/>
      <x:c r="J89" s="13"/>
      <x:c r="K89" s="13"/>
      <x:c r="L89" s="13"/>
      <x:c r="M89" s="13"/>
      <x:c r="N89" s="3"/>
      <x:c r="O89" s="3"/>
      <x:c r="P89" s="3"/>
      <x:c r="Q89" s="3"/>
    </x:row>
    <x:row r="90" ht="20" customHeight="1">
      <x:c r="C90" s="3"/>
      <x:c r="D90" s="42"/>
      <x:c r="E90" s="42"/>
      <x:c r="F90" s="42"/>
      <x:c r="G90" s="42"/>
      <x:c r="H90" s="12"/>
      <x:c r="I90" s="13"/>
      <x:c r="J90" s="13"/>
      <x:c r="K90" s="13"/>
      <x:c r="L90" s="13"/>
      <x:c r="M90" s="13"/>
      <x:c r="N90" s="3"/>
      <x:c r="O90" s="3"/>
      <x:c r="P90" s="3"/>
      <x:c r="Q90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0" hidden="0" customWidth="1"/>
    <x:col min="16" max="16" width="16" hidden="0" customWidth="1"/>
    <x:col min="17" max="17" width="16" hidden="0" customWidth="1"/>
  </x:cols>
  <x:sheetData>
    <x:row r="1" ht="20" customHeight="1"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C2" s="7" t="str">
        <x:v>Debt, shares and capital returns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3"/>
      <x:c r="O2" s="3"/>
      <x:c r="P2" s="3"/>
      <x:c r="Q2" s="3"/>
    </x:row>
    <x:row r="3" ht="20" customHeight="1">
      <x:c r="C3" s="8" t="str">
        <x:v>USD millions except shares (millions), per-share values and rates</x:v>
      </x:c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3"/>
      <x:c r="O3" s="3"/>
      <x:c r="P3" s="3"/>
      <x:c r="Q3" s="3"/>
    </x:row>
    <x:row r="4" ht="24" customHeight="1">
      <x:c r="C4" s="11"/>
      <x:c r="D4" s="11"/>
      <x:c r="E4" s="11"/>
      <x:c r="F4" s="11"/>
      <x:c r="G4" s="11"/>
      <x:c r="H4" s="11" t="str">
        <x:v>FY:26 A</x:v>
      </x:c>
      <x:c r="I4" s="11" t="str">
        <x:v>FY:27 F</x:v>
      </x:c>
      <x:c r="J4" s="11" t="str">
        <x:v>FY:28 F</x:v>
      </x:c>
      <x:c r="K4" s="11" t="str">
        <x:v>FY:29 F</x:v>
      </x:c>
      <x:c r="L4" s="11" t="str">
        <x:v>FY:30 F</x:v>
      </x:c>
      <x:c r="M4" s="11" t="str">
        <x:v>FY:31 F</x:v>
      </x:c>
      <x:c r="N4" s="3"/>
      <x:c r="O4" s="3"/>
      <x:c r="P4" s="3"/>
      <x:c r="Q4" s="3"/>
    </x:row>
    <x:row r="5" ht="20" customHeight="1">
      <x:c r="C5" s="3"/>
      <x:c r="D5" s="42"/>
      <x:c r="E5" s="42"/>
      <x:c r="F5" s="42"/>
      <x:c r="G5" s="42"/>
      <x:c r="H5" s="12"/>
      <x:c r="I5" s="13"/>
      <x:c r="J5" s="13"/>
      <x:c r="K5" s="13"/>
      <x:c r="L5" s="13"/>
      <x:c r="M5" s="13"/>
      <x:c r="N5" s="3"/>
      <x:c r="O5" s="3"/>
      <x:c r="P5" s="3"/>
      <x:c r="Q5" s="3"/>
    </x:row>
    <x:row r="6" ht="20" customHeight="1">
      <x:c r="C6" s="3"/>
      <x:c r="D6" s="42"/>
      <x:c r="E6" s="42"/>
      <x:c r="F6" s="42"/>
      <x:c r="G6" s="42"/>
      <x:c r="H6" s="12"/>
      <x:c r="I6" s="13"/>
      <x:c r="J6" s="13"/>
      <x:c r="K6" s="13"/>
      <x:c r="L6" s="13"/>
      <x:c r="M6" s="13"/>
      <x:c r="N6" s="3"/>
      <x:c r="O6" s="3"/>
      <x:c r="P6" s="3"/>
      <x:c r="Q6" s="3"/>
    </x:row>
    <x:row r="7" ht="20" customHeight="1">
      <x:c r="C7" s="3" t="str">
        <x:v>Corporate debt, opening</x:v>
      </x:c>
      <x:c r="D7" s="42"/>
      <x:c r="E7" s="42"/>
      <x:c r="F7" s="42"/>
      <x:c r="G7" s="42"/>
      <x:c r="H7" s="12"/>
      <x:c r="I7" s="13" t="n">
        <x:f>SUM('Actuals'!H45,'Actuals'!H47)</x:f>
        <x:v>40294</x:v>
      </x:c>
      <x:c r="J7" s="5" t="n">
        <x:f>I10</x:f>
        <x:v>40294</x:v>
      </x:c>
      <x:c r="K7" s="5" t="n">
        <x:f>J10</x:f>
        <x:v>40294</x:v>
      </x:c>
      <x:c r="L7" s="5" t="n">
        <x:f>K10</x:f>
        <x:v>40294</x:v>
      </x:c>
      <x:c r="M7" s="5" t="n">
        <x:f>L10</x:f>
        <x:v>40294</x:v>
      </x:c>
      <x:c r="N7" s="3"/>
      <x:c r="O7" s="3"/>
      <x:c r="P7" s="3"/>
      <x:c r="Q7" s="3"/>
    </x:row>
    <x:row r="8" ht="20" customHeight="1">
      <x:c r="C8" s="3" t="str">
        <x:v>Scheduled principal maturities</x:v>
      </x:c>
      <x:c r="D8" s="42"/>
      <x:c r="E8" s="42"/>
      <x:c r="F8" s="42"/>
      <x:c r="G8" s="42"/>
      <x:c r="H8" s="12"/>
      <x:c r="I8" s="13" t="n">
        <x:f>'Actuals'!I126</x:f>
        <x:v>9250</x:v>
      </x:c>
      <x:c r="J8" s="13" t="n">
        <x:f>'Actuals'!J126</x:f>
        <x:v>0</x:v>
      </x:c>
      <x:c r="K8" s="13" t="n">
        <x:f>'Actuals'!K126</x:f>
        <x:v>2001</x:v>
      </x:c>
      <x:c r="L8" s="13" t="n">
        <x:f>'Actuals'!L126</x:f>
        <x:v>0</x:v>
      </x:c>
      <x:c r="M8" s="13" t="n">
        <x:f>'Actuals'!M126</x:f>
        <x:v>500</x:v>
      </x:c>
      <x:c r="N8" s="3"/>
      <x:c r="O8" s="3"/>
      <x:c r="P8" s="3"/>
      <x:c r="Q8" s="3"/>
    </x:row>
    <x:row r="9" ht="20" customHeight="1">
      <x:c r="C9" s="3" t="str">
        <x:v>Corporate debt refinanced</x:v>
      </x:c>
      <x:c r="D9" s="42"/>
      <x:c r="E9" s="42"/>
      <x:c r="F9" s="42"/>
      <x:c r="G9" s="42"/>
      <x:c r="H9" s="12"/>
      <x:c r="I9" s="5" t="n">
        <x:f>I8</x:f>
        <x:v>9250</x:v>
      </x:c>
      <x:c r="J9" s="5" t="n">
        <x:f>J8</x:f>
        <x:v>0</x:v>
      </x:c>
      <x:c r="K9" s="5" t="n">
        <x:f>K8</x:f>
        <x:v>2001</x:v>
      </x:c>
      <x:c r="L9" s="5" t="n">
        <x:f>L8</x:f>
        <x:v>0</x:v>
      </x:c>
      <x:c r="M9" s="5" t="n">
        <x:f>M8</x:f>
        <x:v>500</x:v>
      </x:c>
      <x:c r="N9" s="3"/>
      <x:c r="O9" s="36" t="str">
        <x:v>All corporate debt maturities refinanced. No incremental corporate borrowing, buyback debt or cash sweeps.</x:v>
      </x:c>
      <x:c r="P9" s="3"/>
      <x:c r="Q9" s="3"/>
    </x:row>
    <x:row r="10" ht="20" customHeight="1">
      <x:c r="C10" s="20" t="str">
        <x:v>Corporate debt, ending</x:v>
      </x:c>
      <x:c r="D10" s="50"/>
      <x:c r="E10" s="50"/>
      <x:c r="F10" s="50"/>
      <x:c r="G10" s="50"/>
      <x:c r="H10" s="77" t="n">
        <x:f>'Actuals'!H122</x:f>
        <x:v>40294</x:v>
      </x:c>
      <x:c r="I10" s="70" t="n">
        <x:f>I7+I9-I8</x:f>
        <x:v>40294</x:v>
      </x:c>
      <x:c r="J10" s="70" t="n">
        <x:f>J7+J9-J8</x:f>
        <x:v>40294</x:v>
      </x:c>
      <x:c r="K10" s="70" t="n">
        <x:f>K7+K9-K8</x:f>
        <x:v>40294</x:v>
      </x:c>
      <x:c r="L10" s="70" t="n">
        <x:f>L7+L9-L8</x:f>
        <x:v>40294</x:v>
      </x:c>
      <x:c r="M10" s="70" t="n">
        <x:f>M7+M9-M8</x:f>
        <x:v>40294</x:v>
      </x:c>
      <x:c r="N10" s="3"/>
      <x:c r="O10" s="3"/>
      <x:c r="P10" s="3"/>
      <x:c r="Q10" s="3"/>
    </x:row>
    <x:row r="11" ht="20" customHeight="1">
      <x:c r="C11" s="3" t="str">
        <x:v>Previously refinanced principal</x:v>
      </x:c>
      <x:c r="D11" s="42"/>
      <x:c r="E11" s="42"/>
      <x:c r="F11" s="42"/>
      <x:c r="G11" s="42"/>
      <x:c r="H11" s="12"/>
      <x:c r="I11" s="5" t="n">
        <x:f>0</x:f>
        <x:v>0</x:v>
      </x:c>
      <x:c r="J11" s="5" t="n">
        <x:f>SUM($I$9:I9)</x:f>
        <x:v>9250</x:v>
      </x:c>
      <x:c r="K11" s="5" t="n">
        <x:f>SUM($I$9:J9)</x:f>
        <x:v>9250</x:v>
      </x:c>
      <x:c r="L11" s="5" t="n">
        <x:f>SUM($I$9:K9)</x:f>
        <x:v>11251</x:v>
      </x:c>
      <x:c r="M11" s="5" t="n">
        <x:f>SUM($I$9:L9)</x:f>
        <x:v>11251</x:v>
      </x:c>
      <x:c r="N11" s="3"/>
      <x:c r="O11" s="3"/>
      <x:c r="P11" s="3"/>
      <x:c r="Q11" s="3"/>
    </x:row>
    <x:row r="12" ht="20" customHeight="1">
      <x:c r="C12" s="3" t="str">
        <x:v>Corporate debt interest</x:v>
      </x:c>
      <x:c r="D12" s="42"/>
      <x:c r="E12" s="42"/>
      <x:c r="F12" s="42"/>
      <x:c r="G12" s="42"/>
      <x:c r="H12" s="12"/>
      <x:c r="I12" s="13" t="n">
        <x:f>(I7-I11-I8/2)*'Assumptions'!I34+(I11+I8/2)*'DCF'!$D$11</x:f>
        <x:v>1326.7575</x:v>
      </x:c>
      <x:c r="J12" s="13" t="n">
        <x:f>(J7-J11-J8/2)*'Assumptions'!J34+(J11+J8/2)*'DCF'!$D$11</x:f>
        <x:v>1444.695</x:v>
      </x:c>
      <x:c r="K12" s="13" t="n">
        <x:f>(K7-K11-K8/2)*'Assumptions'!K34+(K11+K8/2)*'DCF'!$D$11</x:f>
        <x:v>1470.20775</x:v>
      </x:c>
      <x:c r="L12" s="13" t="n">
        <x:f>(L7-L11-L8/2)*'Assumptions'!L34+(L11+L8/2)*'DCF'!$D$11</x:f>
        <x:v>1495.7205</x:v>
      </x:c>
      <x:c r="M12" s="13" t="n">
        <x:f>(M7-M11-M8/2)*'Assumptions'!M34+(M11+M8/2)*'DCF'!$D$11</x:f>
        <x:v>1502.0955</x:v>
      </x:c>
      <x:c r="N12" s="3"/>
      <x:c r="O12" s="3"/>
      <x:c r="P12" s="3"/>
      <x:c r="Q12" s="3"/>
    </x:row>
    <x:row r="13" ht="20" customHeight="1">
      <x:c r="C13" s="3" t="str">
        <x:v>Finance lease interest</x:v>
      </x:c>
      <x:c r="D13" s="42"/>
      <x:c r="E13" s="42"/>
      <x:c r="F13" s="42"/>
      <x:c r="G13" s="42"/>
      <x:c r="H13" s="12"/>
      <x:c r="I13" s="13" t="n">
        <x:f>'Capital'!I40</x:f>
        <x:v>3342.457964423077</x:v>
      </x:c>
      <x:c r="J13" s="13" t="n">
        <x:f>'Capital'!J40</x:f>
        <x:v>3834.7422234447113</x:v>
      </x:c>
      <x:c r="K13" s="13" t="n">
        <x:f>'Capital'!K40</x:f>
        <x:v>4269.2692141674515</x:v>
      </x:c>
      <x:c r="L13" s="13" t="n">
        <x:f>'Capital'!L40</x:f>
        <x:v>4649.511088426336</x:v>
      </x:c>
      <x:c r="M13" s="13" t="n">
        <x:f>'Capital'!M40</x:f>
        <x:v>4916.9520208986</x:v>
      </x:c>
      <x:c r="N13" s="3"/>
      <x:c r="O13" s="3"/>
      <x:c r="P13" s="3"/>
      <x:c r="Q13" s="3"/>
    </x:row>
    <x:row r="14" ht="20" customHeight="1">
      <x:c r="C14" s="20" t="str">
        <x:v>Total financing interest</x:v>
      </x:c>
      <x:c r="D14" s="50"/>
      <x:c r="E14" s="50"/>
      <x:c r="F14" s="50"/>
      <x:c r="G14" s="50"/>
      <x:c r="H14" s="21"/>
      <x:c r="I14" s="70" t="n">
        <x:f>SUM(I12:I13)</x:f>
        <x:v>4669.215464423077</x:v>
      </x:c>
      <x:c r="J14" s="70" t="n">
        <x:f>SUM(J12:J13)</x:f>
        <x:v>5279.437223444711</x:v>
      </x:c>
      <x:c r="K14" s="70" t="n">
        <x:f>SUM(K12:K13)</x:f>
        <x:v>5739.476964167452</x:v>
      </x:c>
      <x:c r="L14" s="70" t="n">
        <x:f>SUM(L12:L13)</x:f>
        <x:v>6145.231588426335</x:v>
      </x:c>
      <x:c r="M14" s="70" t="n">
        <x:f>SUM(M12:M13)</x:f>
        <x:v>6419.047520898599</x:v>
      </x:c>
      <x:c r="N14" s="3"/>
      <x:c r="O14" s="36" t="str">
        <x:v>All modeled debt and finance lease interest is expensed. No interest capitalization is assumed.</x:v>
      </x:c>
      <x:c r="P14" s="3"/>
      <x:c r="Q14" s="3"/>
    </x:row>
    <x:row r="15" ht="20" customHeight="1">
      <x:c r="C15" s="3" t="str">
        <x:v>Interest income on opening liquid assets</x:v>
      </x:c>
      <x:c r="D15" s="42"/>
      <x:c r="E15" s="42"/>
      <x:c r="F15" s="42"/>
      <x:c r="G15" s="42"/>
      <x:c r="H15" s="12"/>
      <x:c r="I15" s="13" t="n">
        <x:f>SUM('Statements'!H25:H26)*'Assumptions'!I32</x:f>
        <x:v>3073.7200000000003</x:v>
      </x:c>
      <x:c r="J15" s="13" t="n">
        <x:f>SUM('Statements'!I25:I26)*'Assumptions'!J32</x:f>
        <x:v>2746.318544426387</x:v>
      </x:c>
      <x:c r="K15" s="13" t="n">
        <x:f>SUM('Statements'!J25:J26)*'Assumptions'!K32</x:f>
        <x:v>3681.085730020964</x:v>
      </x:c>
      <x:c r="L15" s="13" t="n">
        <x:f>SUM('Statements'!K25:K26)*'Assumptions'!L32</x:f>
        <x:v>6288.2549234304415</x:v>
      </x:c>
      <x:c r="M15" s="13" t="n">
        <x:f>SUM('Statements'!L25:L26)*'Assumptions'!M32</x:f>
        <x:v>10695.320225687572</x:v>
      </x:c>
      <x:c r="N15" s="3"/>
      <x:c r="O15" s="3"/>
      <x:c r="P15" s="3"/>
      <x:c r="Q15" s="3"/>
    </x:row>
    <x:row r="16" ht="20" customHeight="1">
      <x:c r="C16" s="3"/>
      <x:c r="D16" s="42"/>
      <x:c r="E16" s="42"/>
      <x:c r="F16" s="42"/>
      <x:c r="G16" s="42"/>
      <x:c r="H16" s="12"/>
      <x:c r="I16" s="13"/>
      <x:c r="J16" s="13"/>
      <x:c r="K16" s="13"/>
      <x:c r="L16" s="13"/>
      <x:c r="M16" s="13"/>
      <x:c r="N16" s="3"/>
      <x:c r="O16" s="3"/>
      <x:c r="P16" s="3"/>
      <x:c r="Q16" s="3"/>
    </x:row>
    <x:row r="17" ht="20" customHeight="1">
      <x:c r="C17" s="3" t="str">
        <x:v>Basic shares, opening</x:v>
      </x:c>
      <x:c r="D17" s="42"/>
      <x:c r="E17" s="42"/>
      <x:c r="F17" s="42"/>
      <x:c r="G17" s="42"/>
      <x:c r="H17" s="12"/>
      <x:c r="I17" s="13" t="n">
        <x:f>'Actuals'!H115</x:f>
        <x:v>7427</x:v>
      </x:c>
      <x:c r="J17" s="5" t="n">
        <x:f>I27</x:f>
        <x:v>7417.997772709197</x:v>
      </x:c>
      <x:c r="K17" s="5" t="n">
        <x:f>J27</x:f>
        <x:v>7407.326852186777</x:v>
      </x:c>
      <x:c r="L17" s="5" t="n">
        <x:f>K27</x:f>
        <x:v>7394.086533961105</x:v>
      </x:c>
      <x:c r="M17" s="5" t="n">
        <x:f>L27</x:f>
        <x:v>7377.462206481399</x:v>
      </x:c>
      <x:c r="N17" s="3"/>
      <x:c r="O17" s="3"/>
      <x:c r="P17" s="3"/>
      <x:c r="Q17" s="3"/>
    </x:row>
    <x:row r="18" ht="20" customHeight="1">
      <x:c r="C18" s="3" t="str">
        <x:v>Assumed transaction share price</x:v>
      </x:c>
      <x:c r="D18" s="42"/>
      <x:c r="E18" s="42"/>
      <x:c r="F18" s="42"/>
      <x:c r="G18" s="42"/>
      <x:c r="H18" s="12"/>
      <x:c r="I18" s="29" t="n">
        <x:f>'Actuals'!H110*(1+'Assumptions'!I33)</x:f>
        <x:v>556.6785</x:v>
      </x:c>
      <x:c r="J18" s="29" t="n">
        <x:f>I18*(1+'Assumptions'!J33)</x:f>
        <x:v>584.512425</x:v>
      </x:c>
      <x:c r="K18" s="29" t="n">
        <x:f>J18*(1+'Assumptions'!K33)</x:f>
        <x:v>613.73804625</x:v>
      </x:c>
      <x:c r="L18" s="29" t="n">
        <x:f>K18*(1+'Assumptions'!L33)</x:f>
        <x:v>644.4249485625</x:v>
      </x:c>
      <x:c r="M18" s="29" t="n">
        <x:f>L18*(1+'Assumptions'!M33)</x:f>
        <x:v>676.6461959906251</x:v>
      </x:c>
      <x:c r="N18" s="3"/>
      <x:c r="O18" s="3"/>
      <x:c r="P18" s="3"/>
      <x:c r="Q18" s="3"/>
    </x:row>
    <x:row r="19" ht="20" customHeight="1">
      <x:c r="C19" s="3" t="str">
        <x:v>Stock compensation expense</x:v>
      </x:c>
      <x:c r="D19" s="42"/>
      <x:c r="E19" s="42"/>
      <x:c r="F19" s="42"/>
      <x:c r="G19" s="42"/>
      <x:c r="H19" s="76" t="n">
        <x:f>'Actuals'!H65</x:f>
        <x:v>12405</x:v>
      </x:c>
      <x:c r="I19" s="13" t="n">
        <x:f>'Revenue'!I27*'Assumptions'!I20</x:f>
        <x:v>14781.79119</x:v>
      </x:c>
      <x:c r="J19" s="13" t="n">
        <x:f>'Revenue'!J27*'Assumptions'!J20</x:f>
        <x:v>17106.2376696</x:v>
      </x:c>
      <x:c r="K19" s="13" t="n">
        <x:f>'Revenue'!K27*'Assumptions'!K20</x:f>
        <x:v>19442.99877079</x:v>
      </x:c>
      <x:c r="L19" s="13" t="n">
        <x:f>'Revenue'!L27*'Assumptions'!L20</x:f>
        <x:v>21628.24447186384</x:v>
      </x:c>
      <x:c r="M19" s="13" t="n">
        <x:f>'Revenue'!M27*'Assumptions'!M20</x:f>
        <x:v>23484.52475909076</x:v>
      </x:c>
      <x:c r="N19" s="3"/>
      <x:c r="O19" s="3"/>
      <x:c r="P19" s="3"/>
      <x:c r="Q19" s="3"/>
    </x:row>
    <x:row r="20" ht="20" customHeight="1">
      <x:c r="C20" s="3" t="str">
        <x:v>Shares issued for stock compensation</x:v>
      </x:c>
      <x:c r="D20" s="42"/>
      <x:c r="E20" s="42"/>
      <x:c r="F20" s="42"/>
      <x:c r="G20" s="42"/>
      <x:c r="H20" s="12"/>
      <x:c r="I20" s="5" t="n">
        <x:f>I19/I18</x:f>
        <x:v>26.553551448457235</x:v>
      </x:c>
      <x:c r="J20" s="5" t="n">
        <x:f>J19/J18</x:f>
        <x:v>29.265823852418535</x:v>
      </x:c>
      <x:c r="K20" s="5" t="n">
        <x:f>K19/K18</x:f>
        <x:v>31.679637411414593</x:v>
      </x:c>
      <x:c r="L20" s="5" t="n">
        <x:f>L19/L18</x:f>
        <x:v>33.56208433597944</x:v>
      </x:c>
      <x:c r="M20" s="5" t="n">
        <x:f>M19/M18</x:f>
        <x:v>34.70724419681233</x:v>
      </x:c>
      <x:c r="N20" s="3"/>
      <x:c r="O20" s="36" t="str">
        <x:v>Economic dilution proxy: stock compensation divided by assumed transaction price. SBC is not added back in the DCF.</x:v>
      </x:c>
      <x:c r="P20" s="3"/>
      <x:c r="Q20" s="3"/>
    </x:row>
    <x:row r="21" ht="20" customHeight="1">
      <x:c r="C21" s="3" t="str">
        <x:v>Cash proceeds from stock issuance</x:v>
      </x:c>
      <x:c r="D21" s="42"/>
      <x:c r="E21" s="42"/>
      <x:c r="F21" s="42"/>
      <x:c r="G21" s="42"/>
      <x:c r="H21" s="76" t="n">
        <x:f>'Actuals'!H87</x:f>
        <x:v>2009</x:v>
      </x:c>
      <x:c r="I21" s="13" t="n">
        <x:f>'Assumptions'!I44</x:f>
        <x:v>2109</x:v>
      </x:c>
      <x:c r="J21" s="13" t="n">
        <x:f>'Assumptions'!J44</x:f>
        <x:v>2214</x:v>
      </x:c>
      <x:c r="K21" s="13" t="n">
        <x:f>'Assumptions'!K44</x:f>
        <x:v>2325</x:v>
      </x:c>
      <x:c r="L21" s="13" t="n">
        <x:f>'Assumptions'!L44</x:f>
        <x:v>2441</x:v>
      </x:c>
      <x:c r="M21" s="13" t="n">
        <x:f>'Assumptions'!M44</x:f>
        <x:v>2563</x:v>
      </x:c>
      <x:c r="N21" s="3"/>
      <x:c r="O21" s="3"/>
      <x:c r="P21" s="3"/>
      <x:c r="Q21" s="3"/>
    </x:row>
    <x:row r="22" ht="20" customHeight="1">
      <x:c r="C22" s="3" t="str">
        <x:v>Shares issued for cash proceeds</x:v>
      </x:c>
      <x:c r="D22" s="42"/>
      <x:c r="E22" s="42"/>
      <x:c r="F22" s="42"/>
      <x:c r="G22" s="42"/>
      <x:c r="H22" s="12"/>
      <x:c r="I22" s="5" t="n">
        <x:f>I21/I18</x:f>
        <x:v>3.7885422196114993</x:v>
      </x:c>
      <x:c r="J22" s="5" t="n">
        <x:f>J21/J18</x:f>
        <x:v>3.78777234718321</x:v>
      </x:c>
      <x:c r="K22" s="5" t="n">
        <x:f>K21/K18</x:f>
        <x:v>3.788261155074187</x:v>
      </x:c>
      <x:c r="L22" s="5" t="n">
        <x:f>L21/L18</x:f>
        <x:v>3.78787321230357</x:v>
      </x:c>
      <x:c r="M22" s="5" t="n">
        <x:f>M21/M18</x:f>
        <x:v>3.7877993184425</x:v>
      </x:c>
      <x:c r="N22" s="3"/>
      <x:c r="O22" s="3"/>
      <x:c r="P22" s="3"/>
      <x:c r="Q22" s="3"/>
    </x:row>
    <x:row r="23" ht="20" customHeight="1">
      <x:c r="C23" s="20" t="str">
        <x:v>Total shares issued</x:v>
      </x:c>
      <x:c r="D23" s="50"/>
      <x:c r="E23" s="50"/>
      <x:c r="F23" s="50"/>
      <x:c r="G23" s="50"/>
      <x:c r="H23" s="21"/>
      <x:c r="I23" s="70" t="n">
        <x:f>SUM(I20,I22)</x:f>
        <x:v>30.342093668068735</x:v>
      </x:c>
      <x:c r="J23" s="70" t="n">
        <x:f>SUM(J20,J22)</x:f>
        <x:v>33.05359619960174</x:v>
      </x:c>
      <x:c r="K23" s="70" t="n">
        <x:f>SUM(K20,K22)</x:f>
        <x:v>35.46789856648878</x:v>
      </x:c>
      <x:c r="L23" s="70" t="n">
        <x:f>SUM(L20,L22)</x:f>
        <x:v>37.349957548283015</x:v>
      </x:c>
      <x:c r="M23" s="70" t="n">
        <x:f>SUM(M20,M22)</x:f>
        <x:v>38.495043515254835</x:v>
      </x:c>
      <x:c r="N23" s="3"/>
      <x:c r="O23" s="3"/>
      <x:c r="P23" s="3"/>
      <x:c r="Q23" s="3"/>
    </x:row>
    <x:row r="24" ht="20" customHeight="1">
      <x:c r="C24" s="3" t="str">
        <x:v>Dividends paid</x:v>
      </x:c>
      <x:c r="D24" s="42"/>
      <x:c r="E24" s="42"/>
      <x:c r="F24" s="42"/>
      <x:c r="G24" s="42"/>
      <x:c r="H24" s="76" t="n">
        <x:f>-'Actuals'!H89</x:f>
        <x:v>26445</x:v>
      </x:c>
      <x:c r="I24" s="13" t="n">
        <x:f>MAX(0,'Statements'!I20)*'Assumptions'!I30</x:f>
        <x:v>29202.85009987098</x:v>
      </x:c>
      <x:c r="J24" s="13" t="n">
        <x:f>MAX(0,'Statements'!J20)*'Assumptions'!J30</x:f>
        <x:v>34076.69773485631</x:v>
      </x:c>
      <x:c r="K24" s="13" t="n">
        <x:f>MAX(0,'Statements'!K20)*'Assumptions'!K30</x:f>
        <x:v>39858.781080456116</x:v>
      </x:c>
      <x:c r="L24" s="13" t="n">
        <x:f>MAX(0,'Statements'!L20)*'Assumptions'!L30</x:f>
        <x:v>46376.50113714538</x:v>
      </x:c>
      <x:c r="M24" s="13" t="n">
        <x:f>MAX(0,'Statements'!M20)*'Assumptions'!M30</x:f>
        <x:v>52409.14066808302</x:v>
      </x:c>
      <x:c r="N24" s="3"/>
      <x:c r="O24" s="3"/>
      <x:c r="P24" s="3"/>
      <x:c r="Q24" s="3"/>
    </x:row>
    <x:row r="25" ht="20" customHeight="1">
      <x:c r="C25" s="3" t="str">
        <x:v>Share repurchases</x:v>
      </x:c>
      <x:c r="D25" s="42"/>
      <x:c r="E25" s="42"/>
      <x:c r="F25" s="42"/>
      <x:c r="G25" s="42"/>
      <x:c r="H25" s="76" t="n">
        <x:f>-'Actuals'!H88</x:f>
        <x:v>22271</x:v>
      </x:c>
      <x:c r="I25" s="13" t="n">
        <x:f>MAX(0,'Statements'!I20)*'Assumptions'!I31</x:f>
        <x:v>21902.13757490323</x:v>
      </x:c>
      <x:c r="J25" s="13" t="n">
        <x:f>MAX(0,'Statements'!J20)*'Assumptions'!J31</x:f>
        <x:v>25557.52330114223</x:v>
      </x:c>
      <x:c r="K25" s="13" t="n">
        <x:f>MAX(0,'Statements'!K20)*'Assumptions'!K31</x:f>
        <x:v>29894.085810342083</x:v>
      </x:c>
      <x:c r="L25" s="13" t="n">
        <x:f>MAX(0,'Statements'!L20)*'Assumptions'!L31</x:f>
        <x:v>34782.37585285903</x:v>
      </x:c>
      <x:c r="M25" s="13" t="n">
        <x:f>MAX(0,'Statements'!M20)*'Assumptions'!M31</x:f>
        <x:v>39306.85550106226</x:v>
      </x:c>
      <x:c r="N25" s="3"/>
      <x:c r="O25" s="3"/>
      <x:c r="P25" s="3"/>
      <x:c r="Q25" s="3"/>
    </x:row>
    <x:row r="26" ht="20" customHeight="1">
      <x:c r="C26" s="3" t="str">
        <x:v>Shares repurchased</x:v>
      </x:c>
      <x:c r="D26" s="42"/>
      <x:c r="E26" s="42"/>
      <x:c r="F26" s="42"/>
      <x:c r="G26" s="42"/>
      <x:c r="H26" s="12"/>
      <x:c r="I26" s="5" t="n">
        <x:f>I25/I18</x:f>
        <x:v>39.34432095887165</x:v>
      </x:c>
      <x:c r="J26" s="5" t="n">
        <x:f>J25/J18</x:f>
        <x:v>43.72451672202217</x:v>
      </x:c>
      <x:c r="K26" s="5" t="n">
        <x:f>K25/K18</x:f>
        <x:v>48.70821679216059</x:v>
      </x:c>
      <x:c r="L26" s="5" t="n">
        <x:f>L25/L18</x:f>
        <x:v>53.97428502798823</x:v>
      </x:c>
      <x:c r="M26" s="5" t="n">
        <x:f>M25/M18</x:f>
        <x:v>58.09070638979378</x:v>
      </x:c>
      <x:c r="N26" s="3"/>
      <x:c r="O26" s="3"/>
      <x:c r="P26" s="3"/>
      <x:c r="Q26" s="3"/>
    </x:row>
    <x:row r="27" ht="20" customHeight="1">
      <x:c r="C27" s="20" t="str">
        <x:v>Basic shares, ending</x:v>
      </x:c>
      <x:c r="D27" s="50"/>
      <x:c r="E27" s="50"/>
      <x:c r="F27" s="50"/>
      <x:c r="G27" s="50"/>
      <x:c r="H27" s="77" t="n">
        <x:f>'Actuals'!H115</x:f>
        <x:v>7427</x:v>
      </x:c>
      <x:c r="I27" s="70" t="n">
        <x:f>I17+I23-I26</x:f>
        <x:v>7417.997772709197</x:v>
      </x:c>
      <x:c r="J27" s="70" t="n">
        <x:f>J17+J23-J26</x:f>
        <x:v>7407.326852186777</x:v>
      </x:c>
      <x:c r="K27" s="70" t="n">
        <x:f>K17+K23-K26</x:f>
        <x:v>7394.086533961105</x:v>
      </x:c>
      <x:c r="L27" s="70" t="n">
        <x:f>L17+L23-L26</x:f>
        <x:v>7377.462206481399</x:v>
      </x:c>
      <x:c r="M27" s="70" t="n">
        <x:f>M17+M23-M26</x:f>
        <x:v>7357.86654360686</x:v>
      </x:c>
      <x:c r="N27" s="3"/>
      <x:c r="O27" s="3"/>
      <x:c r="P27" s="3"/>
      <x:c r="Q27" s="3"/>
    </x:row>
    <x:row r="28" ht="20" customHeight="1">
      <x:c r="C28" s="20" t="str">
        <x:v>Weighted-average diluted shares</x:v>
      </x:c>
      <x:c r="D28" s="50"/>
      <x:c r="E28" s="50"/>
      <x:c r="F28" s="50"/>
      <x:c r="G28" s="50"/>
      <x:c r="H28" s="77" t="n">
        <x:f>'Actuals'!H21</x:f>
        <x:v>7453</x:v>
      </x:c>
      <x:c r="I28" s="22" t="n">
        <x:f>AVERAGE(I17,I27)+'Assumptions'!I45</x:f>
        <x:v>7446.498886354599</x:v>
      </x:c>
      <x:c r="J28" s="22" t="n">
        <x:f>AVERAGE(J17,J27)+'Assumptions'!J45</x:f>
        <x:v>7436.662312447987</x:v>
      </x:c>
      <x:c r="K28" s="22" t="n">
        <x:f>AVERAGE(K17,K27)+'Assumptions'!K45</x:f>
        <x:v>7424.70669307394</x:v>
      </x:c>
      <x:c r="L28" s="22" t="n">
        <x:f>AVERAGE(L17,L27)+'Assumptions'!L45</x:f>
        <x:v>7409.774370221252</x:v>
      </x:c>
      <x:c r="M28" s="22" t="n">
        <x:f>AVERAGE(M17,M27)+'Assumptions'!M45</x:f>
        <x:v>7391.66437504413</x:v>
      </x:c>
      <x:c r="N28" s="3"/>
      <x:c r="O28" s="3"/>
      <x:c r="P28" s="3"/>
      <x:c r="Q28" s="3"/>
    </x:row>
    <x:row r="29" ht="20" customHeight="1">
      <x:c r="C29" s="3" t="str">
        <x:v>Paid-in capital, opening</x:v>
      </x:c>
      <x:c r="D29" s="42"/>
      <x:c r="E29" s="42"/>
      <x:c r="F29" s="42"/>
      <x:c r="G29" s="42"/>
      <x:c r="H29" s="12"/>
      <x:c r="I29" s="13" t="n">
        <x:f>'Actuals'!H56</x:f>
        <x:v>117406</x:v>
      </x:c>
      <x:c r="J29" s="5" t="n">
        <x:f>I30</x:f>
        <x:v>134296.79119</x:v>
      </x:c>
      <x:c r="K29" s="5" t="n">
        <x:f>J30</x:f>
        <x:v>153617.0288596</x:v>
      </x:c>
      <x:c r="L29" s="5" t="n">
        <x:f>K30</x:f>
        <x:v>175385.02763039</x:v>
      </x:c>
      <x:c r="M29" s="5" t="n">
        <x:f>L30</x:f>
        <x:v>199454.27210225383</x:v>
      </x:c>
      <x:c r="N29" s="3"/>
      <x:c r="O29" s="3"/>
      <x:c r="P29" s="3"/>
      <x:c r="Q29" s="3"/>
    </x:row>
    <x:row r="30" ht="20" customHeight="1">
      <x:c r="C30" s="20" t="str">
        <x:v>Paid-in capital, ending</x:v>
      </x:c>
      <x:c r="D30" s="50"/>
      <x:c r="E30" s="50"/>
      <x:c r="F30" s="50"/>
      <x:c r="G30" s="50"/>
      <x:c r="H30" s="77" t="n">
        <x:f>'Actuals'!H56</x:f>
        <x:v>117406</x:v>
      </x:c>
      <x:c r="I30" s="70" t="n">
        <x:f>SUM(I29,I19,I21)</x:f>
        <x:v>134296.79119</x:v>
      </x:c>
      <x:c r="J30" s="70" t="n">
        <x:f>SUM(J29,J19,J21)</x:f>
        <x:v>153617.0288596</x:v>
      </x:c>
      <x:c r="K30" s="70" t="n">
        <x:f>SUM(K29,K19,K21)</x:f>
        <x:v>175385.02763039</x:v>
      </x:c>
      <x:c r="L30" s="70" t="n">
        <x:f>SUM(L29,L19,L21)</x:f>
        <x:v>199454.27210225383</x:v>
      </x:c>
      <x:c r="M30" s="70" t="n">
        <x:f>SUM(M29,M19,M21)</x:f>
        <x:v>225501.7968613446</x:v>
      </x:c>
      <x:c r="N30" s="3"/>
      <x:c r="O30" s="3"/>
      <x:c r="P30" s="3"/>
      <x:c r="Q30" s="3"/>
    </x:row>
    <x:row r="31" ht="20" customHeight="1">
      <x:c r="C31" s="3" t="str">
        <x:v>Retained earnings, opening</x:v>
      </x:c>
      <x:c r="D31" s="42"/>
      <x:c r="E31" s="42"/>
      <x:c r="F31" s="42"/>
      <x:c r="G31" s="42"/>
      <x:c r="H31" s="12"/>
      <x:c r="I31" s="13" t="n">
        <x:f>'Actuals'!H57</x:f>
        <x:v>328265</x:v>
      </x:c>
      <x:c r="J31" s="5" t="n">
        <x:f>I32</x:f>
        <x:v>423174.2628245807</x:v>
      </x:c>
      <x:c r="K31" s="5" t="n">
        <x:f>J32</x:f>
        <x:v>533923.5304628637</x:v>
      </x:c>
      <x:c r="L31" s="5" t="n">
        <x:f>K32</x:f>
        <x:v>663464.568974346</x:v>
      </x:c>
      <x:c r="M31" s="5" t="n">
        <x:f>L32</x:f>
        <x:v>814188.1976700685</x:v>
      </x:c>
      <x:c r="N31" s="3"/>
      <x:c r="O31" s="3"/>
      <x:c r="P31" s="3"/>
      <x:c r="Q31" s="3"/>
    </x:row>
    <x:row r="32" ht="20" customHeight="1">
      <x:c r="C32" s="20" t="str">
        <x:v>Retained earnings, ending</x:v>
      </x:c>
      <x:c r="D32" s="50"/>
      <x:c r="E32" s="50"/>
      <x:c r="F32" s="50"/>
      <x:c r="G32" s="50"/>
      <x:c r="H32" s="77" t="n">
        <x:f>'Actuals'!H57</x:f>
        <x:v>328265</x:v>
      </x:c>
      <x:c r="I32" s="22" t="n">
        <x:f>I31+'Statements'!I20-SUM(I24:I25)</x:f>
        <x:v>423174.2628245807</x:v>
      </x:c>
      <x:c r="J32" s="22" t="n">
        <x:f>J31+'Statements'!J20-SUM(J24:J25)</x:f>
        <x:v>533923.5304628637</x:v>
      </x:c>
      <x:c r="K32" s="22" t="n">
        <x:f>K31+'Statements'!K20-SUM(K24:K25)</x:f>
        <x:v>663464.568974346</x:v>
      </x:c>
      <x:c r="L32" s="22" t="n">
        <x:f>L31+'Statements'!L20-SUM(L24:L25)</x:f>
        <x:v>814188.1976700685</x:v>
      </x:c>
      <x:c r="M32" s="22" t="n">
        <x:f>M31+'Statements'!M20-SUM(M24:M25)</x:f>
        <x:v>984517.9048413383</x:v>
      </x:c>
      <x:c r="N32" s="3"/>
      <x:c r="O32" s="36" t="str">
        <x:v>All modeled repurchases reduce retained earnings. This presentation policy does not affect total equity or cash.</x:v>
      </x:c>
      <x:c r="P32" s="3"/>
      <x:c r="Q32" s="3"/>
    </x:row>
    <x:row r="33" ht="20" customHeight="1">
      <x:c r="C33" s="3" t="str">
        <x:v>Accumulated other comprehensive income</x:v>
      </x:c>
      <x:c r="D33" s="42"/>
      <x:c r="E33" s="42"/>
      <x:c r="F33" s="42"/>
      <x:c r="G33" s="42"/>
      <x:c r="H33" s="76" t="n">
        <x:f>'Actuals'!H58</x:f>
        <x:v>-3284</x:v>
      </x:c>
      <x:c r="I33" s="13" t="n">
        <x:f>'Actuals'!$H$58</x:f>
        <x:v>-3284</x:v>
      </x:c>
      <x:c r="J33" s="13" t="n">
        <x:f>'Actuals'!$H$58</x:f>
        <x:v>-3284</x:v>
      </x:c>
      <x:c r="K33" s="13" t="n">
        <x:f>'Actuals'!$H$58</x:f>
        <x:v>-3284</x:v>
      </x:c>
      <x:c r="L33" s="13" t="n">
        <x:f>'Actuals'!$H$58</x:f>
        <x:v>-3284</x:v>
      </x:c>
      <x:c r="M33" s="13" t="n">
        <x:f>'Actuals'!$H$58</x:f>
        <x:v>-3284</x:v>
      </x:c>
      <x:c r="N33" s="3"/>
      <x:c r="O33" s="3"/>
      <x:c r="P33" s="3"/>
      <x:c r="Q33" s="3"/>
    </x:row>
    <x:row r="34" ht="20" customHeight="1">
      <x:c r="C34" s="3"/>
      <x:c r="D34" s="42"/>
      <x:c r="E34" s="42"/>
      <x:c r="F34" s="42"/>
      <x:c r="G34" s="42"/>
      <x:c r="H34" s="12"/>
      <x:c r="I34" s="13"/>
      <x:c r="J34" s="13"/>
      <x:c r="K34" s="13"/>
      <x:c r="L34" s="13"/>
      <x:c r="M34" s="13"/>
      <x:c r="N34" s="3"/>
      <x:c r="O34" s="3"/>
      <x:c r="P34" s="3"/>
      <x:c r="Q34" s="3"/>
    </x:row>
    <x:row r="35" ht="20" customHeight="1">
      <x:c r="C35" s="3"/>
      <x:c r="D35" s="42"/>
      <x:c r="E35" s="42"/>
      <x:c r="F35" s="42"/>
      <x:c r="G35" s="42"/>
      <x:c r="H35" s="12"/>
      <x:c r="I35" s="13"/>
      <x:c r="J35" s="13"/>
      <x:c r="K35" s="13"/>
      <x:c r="L35" s="13"/>
      <x:c r="M35" s="13"/>
      <x:c r="N35" s="3"/>
      <x:c r="O35" s="3"/>
      <x:c r="P35" s="3"/>
      <x:c r="Q35" s="3"/>
    </x:row>
    <x:row r="36" ht="20" customHeight="1">
      <x:c r="C36" s="3"/>
      <x:c r="D36" s="42"/>
      <x:c r="E36" s="42"/>
      <x:c r="F36" s="42"/>
      <x:c r="G36" s="42"/>
      <x:c r="H36" s="12"/>
      <x:c r="I36" s="13"/>
      <x:c r="J36" s="13"/>
      <x:c r="K36" s="13"/>
      <x:c r="L36" s="13"/>
      <x:c r="M36" s="13"/>
      <x:c r="N36" s="3"/>
      <x:c r="O36" s="3"/>
      <x:c r="P36" s="3"/>
      <x:c r="Q36" s="3"/>
    </x:row>
    <x:row r="37" ht="20" customHeight="1">
      <x:c r="C37" s="3"/>
      <x:c r="D37" s="42"/>
      <x:c r="E37" s="42"/>
      <x:c r="F37" s="42"/>
      <x:c r="G37" s="42"/>
      <x:c r="H37" s="12"/>
      <x:c r="I37" s="13"/>
      <x:c r="J37" s="13"/>
      <x:c r="K37" s="13"/>
      <x:c r="L37" s="13"/>
      <x:c r="M37" s="13"/>
      <x:c r="N37" s="3"/>
      <x:c r="O37" s="3"/>
      <x:c r="P37" s="3"/>
      <x:c r="Q37" s="3"/>
    </x:row>
    <x:row r="38" ht="20" customHeight="1">
      <x:c r="C38" s="3"/>
      <x:c r="D38" s="42"/>
      <x:c r="E38" s="42"/>
      <x:c r="F38" s="42"/>
      <x:c r="G38" s="42"/>
      <x:c r="H38" s="12"/>
      <x:c r="I38" s="13"/>
      <x:c r="J38" s="13"/>
      <x:c r="K38" s="13"/>
      <x:c r="L38" s="13"/>
      <x:c r="M38" s="13"/>
      <x:c r="N38" s="3"/>
      <x:c r="O38" s="3"/>
      <x:c r="P38" s="3"/>
      <x:c r="Q38" s="3"/>
    </x:row>
    <x:row r="39" ht="20" customHeight="1">
      <x:c r="C39" s="3"/>
      <x:c r="D39" s="42"/>
      <x:c r="E39" s="42"/>
      <x:c r="F39" s="42"/>
      <x:c r="G39" s="42"/>
      <x:c r="H39" s="12"/>
      <x:c r="I39" s="13"/>
      <x:c r="J39" s="13"/>
      <x:c r="K39" s="13"/>
      <x:c r="L39" s="13"/>
      <x:c r="M39" s="13"/>
      <x:c r="N39" s="3"/>
      <x:c r="O39" s="3"/>
      <x:c r="P39" s="3"/>
      <x:c r="Q39" s="3"/>
    </x:row>
    <x:row r="40" ht="20" customHeight="1">
      <x:c r="C40" s="3"/>
      <x:c r="D40" s="42"/>
      <x:c r="E40" s="42"/>
      <x:c r="F40" s="42"/>
      <x:c r="G40" s="42"/>
      <x:c r="H40" s="12"/>
      <x:c r="I40" s="13"/>
      <x:c r="J40" s="13"/>
      <x:c r="K40" s="13"/>
      <x:c r="L40" s="13"/>
      <x:c r="M40" s="13"/>
      <x:c r="N40" s="3"/>
      <x:c r="O40" s="3"/>
      <x:c r="P40" s="3"/>
      <x:c r="Q40" s="3"/>
    </x:row>
    <x:row r="41" ht="20" customHeight="1">
      <x:c r="C41" s="3"/>
      <x:c r="D41" s="42"/>
      <x:c r="E41" s="42"/>
      <x:c r="F41" s="42"/>
      <x:c r="G41" s="42"/>
      <x:c r="H41" s="12"/>
      <x:c r="I41" s="13"/>
      <x:c r="J41" s="13"/>
      <x:c r="K41" s="13"/>
      <x:c r="L41" s="13"/>
      <x:c r="M41" s="13"/>
      <x:c r="N41" s="3"/>
      <x:c r="O41" s="3"/>
      <x:c r="P41" s="3"/>
      <x:c r="Q41" s="3"/>
    </x:row>
    <x:row r="42" ht="20" customHeight="1">
      <x:c r="C42" s="3"/>
      <x:c r="D42" s="42"/>
      <x:c r="E42" s="42"/>
      <x:c r="F42" s="42"/>
      <x:c r="G42" s="42"/>
      <x:c r="H42" s="12"/>
      <x:c r="I42" s="13"/>
      <x:c r="J42" s="13"/>
      <x:c r="K42" s="13"/>
      <x:c r="L42" s="13"/>
      <x:c r="M42" s="13"/>
      <x:c r="N42" s="3"/>
      <x:c r="O42" s="3"/>
      <x:c r="P42" s="3"/>
      <x:c r="Q42" s="3"/>
    </x:row>
    <x:row r="43" ht="20" customHeight="1">
      <x:c r="C43" s="3"/>
      <x:c r="D43" s="42"/>
      <x:c r="E43" s="42"/>
      <x:c r="F43" s="42"/>
      <x:c r="G43" s="42"/>
      <x:c r="H43" s="12"/>
      <x:c r="I43" s="13"/>
      <x:c r="J43" s="13"/>
      <x:c r="K43" s="13"/>
      <x:c r="L43" s="13"/>
      <x:c r="M43" s="13"/>
      <x:c r="N43" s="3"/>
      <x:c r="O43" s="3"/>
      <x:c r="P43" s="3"/>
      <x:c r="Q43" s="3"/>
    </x:row>
    <x:row r="44" ht="20" customHeight="1">
      <x:c r="C44" s="3"/>
      <x:c r="D44" s="42"/>
      <x:c r="E44" s="42"/>
      <x:c r="F44" s="42"/>
      <x:c r="G44" s="42"/>
      <x:c r="H44" s="12"/>
      <x:c r="I44" s="13"/>
      <x:c r="J44" s="13"/>
      <x:c r="K44" s="13"/>
      <x:c r="L44" s="13"/>
      <x:c r="M44" s="13"/>
      <x:c r="N44" s="3"/>
      <x:c r="O44" s="3"/>
      <x:c r="P44" s="3"/>
      <x:c r="Q44" s="3"/>
    </x:row>
    <x:row r="45" ht="20" customHeight="1">
      <x:c r="C45" s="3"/>
      <x:c r="D45" s="42"/>
      <x:c r="E45" s="42"/>
      <x:c r="F45" s="42"/>
      <x:c r="G45" s="42"/>
      <x:c r="H45" s="12"/>
      <x:c r="I45" s="13"/>
      <x:c r="J45" s="13"/>
      <x:c r="K45" s="13"/>
      <x:c r="L45" s="13"/>
      <x:c r="M45" s="13"/>
      <x:c r="N45" s="3"/>
      <x:c r="O45" s="3"/>
      <x:c r="P45" s="3"/>
      <x:c r="Q45" s="3"/>
    </x:row>
    <x:row r="46" ht="20" customHeight="1">
      <x:c r="C46" s="3"/>
      <x:c r="D46" s="42"/>
      <x:c r="E46" s="42"/>
      <x:c r="F46" s="42"/>
      <x:c r="G46" s="42"/>
      <x:c r="H46" s="12"/>
      <x:c r="I46" s="13"/>
      <x:c r="J46" s="13"/>
      <x:c r="K46" s="13"/>
      <x:c r="L46" s="13"/>
      <x:c r="M46" s="13"/>
      <x:c r="N46" s="3"/>
      <x:c r="O46" s="3"/>
      <x:c r="P46" s="3"/>
      <x:c r="Q46" s="3"/>
    </x:row>
    <x:row r="47" ht="20" customHeight="1">
      <x:c r="C47" s="3"/>
      <x:c r="D47" s="42"/>
      <x:c r="E47" s="42"/>
      <x:c r="F47" s="42"/>
      <x:c r="G47" s="42"/>
      <x:c r="H47" s="12"/>
      <x:c r="I47" s="13"/>
      <x:c r="J47" s="13"/>
      <x:c r="K47" s="13"/>
      <x:c r="L47" s="13"/>
      <x:c r="M47" s="13"/>
      <x:c r="N47" s="3"/>
      <x:c r="O47" s="3"/>
      <x:c r="P47" s="3"/>
      <x:c r="Q47" s="3"/>
    </x:row>
    <x:row r="48" ht="20" customHeight="1">
      <x:c r="C48" s="3"/>
      <x:c r="D48" s="42"/>
      <x:c r="E48" s="42"/>
      <x:c r="F48" s="42"/>
      <x:c r="G48" s="42"/>
      <x:c r="H48" s="12"/>
      <x:c r="I48" s="13"/>
      <x:c r="J48" s="13"/>
      <x:c r="K48" s="13"/>
      <x:c r="L48" s="13"/>
      <x:c r="M48" s="13"/>
      <x:c r="N48" s="3"/>
      <x:c r="O48" s="3"/>
      <x:c r="P48" s="3"/>
      <x:c r="Q48" s="3"/>
    </x:row>
    <x:row r="49" ht="20" customHeight="1">
      <x:c r="C49" s="3"/>
      <x:c r="D49" s="42"/>
      <x:c r="E49" s="42"/>
      <x:c r="F49" s="42"/>
      <x:c r="G49" s="42"/>
      <x:c r="H49" s="12"/>
      <x:c r="I49" s="13"/>
      <x:c r="J49" s="13"/>
      <x:c r="K49" s="13"/>
      <x:c r="L49" s="13"/>
      <x:c r="M49" s="13"/>
      <x:c r="N49" s="3"/>
      <x:c r="O49" s="3"/>
      <x:c r="P49" s="3"/>
      <x:c r="Q49" s="3"/>
    </x:row>
    <x:row r="50" ht="20" customHeight="1">
      <x:c r="C50" s="3"/>
      <x:c r="D50" s="42"/>
      <x:c r="E50" s="42"/>
      <x:c r="F50" s="42"/>
      <x:c r="G50" s="42"/>
      <x:c r="H50" s="12"/>
      <x:c r="I50" s="13"/>
      <x:c r="J50" s="13"/>
      <x:c r="K50" s="13"/>
      <x:c r="L50" s="13"/>
      <x:c r="M50" s="13"/>
      <x:c r="N50" s="3"/>
      <x:c r="O50" s="3"/>
      <x:c r="P50" s="3"/>
      <x:c r="Q50" s="3"/>
    </x:row>
    <x:row r="51" ht="20" customHeight="1">
      <x:c r="C51" s="3"/>
      <x:c r="D51" s="42"/>
      <x:c r="E51" s="42"/>
      <x:c r="F51" s="42"/>
      <x:c r="G51" s="42"/>
      <x:c r="H51" s="12"/>
      <x:c r="I51" s="13"/>
      <x:c r="J51" s="13"/>
      <x:c r="K51" s="13"/>
      <x:c r="L51" s="13"/>
      <x:c r="M51" s="13"/>
      <x:c r="N51" s="3"/>
      <x:c r="O51" s="3"/>
      <x:c r="P51" s="3"/>
      <x:c r="Q51" s="3"/>
    </x:row>
    <x:row r="52" ht="20" customHeight="1">
      <x:c r="C52" s="3"/>
      <x:c r="D52" s="42"/>
      <x:c r="E52" s="42"/>
      <x:c r="F52" s="42"/>
      <x:c r="G52" s="42"/>
      <x:c r="H52" s="12"/>
      <x:c r="I52" s="13"/>
      <x:c r="J52" s="13"/>
      <x:c r="K52" s="13"/>
      <x:c r="L52" s="13"/>
      <x:c r="M52" s="13"/>
      <x:c r="N52" s="3"/>
      <x:c r="O52" s="3"/>
      <x:c r="P52" s="3"/>
      <x:c r="Q52" s="3"/>
    </x:row>
    <x:row r="53" ht="20" customHeight="1">
      <x:c r="C53" s="3"/>
      <x:c r="D53" s="42"/>
      <x:c r="E53" s="42"/>
      <x:c r="F53" s="42"/>
      <x:c r="G53" s="42"/>
      <x:c r="H53" s="12"/>
      <x:c r="I53" s="13"/>
      <x:c r="J53" s="13"/>
      <x:c r="K53" s="13"/>
      <x:c r="L53" s="13"/>
      <x:c r="M53" s="13"/>
      <x:c r="N53" s="3"/>
      <x:c r="O53" s="3"/>
      <x:c r="P53" s="3"/>
      <x:c r="Q53" s="3"/>
    </x:row>
    <x:row r="54" ht="20" customHeight="1">
      <x:c r="C54" s="3"/>
      <x:c r="D54" s="42"/>
      <x:c r="E54" s="42"/>
      <x:c r="F54" s="42"/>
      <x:c r="G54" s="42"/>
      <x:c r="H54" s="12"/>
      <x:c r="I54" s="13"/>
      <x:c r="J54" s="13"/>
      <x:c r="K54" s="13"/>
      <x:c r="L54" s="13"/>
      <x:c r="M54" s="13"/>
      <x:c r="N54" s="3"/>
      <x:c r="O54" s="3"/>
      <x:c r="P54" s="3"/>
      <x:c r="Q54" s="3"/>
    </x:row>
    <x:row r="55" ht="20" customHeight="1">
      <x:c r="C55" s="3"/>
      <x:c r="D55" s="42"/>
      <x:c r="E55" s="42"/>
      <x:c r="F55" s="42"/>
      <x:c r="G55" s="42"/>
      <x:c r="H55" s="12"/>
      <x:c r="I55" s="13"/>
      <x:c r="J55" s="13"/>
      <x:c r="K55" s="13"/>
      <x:c r="L55" s="13"/>
      <x:c r="M55" s="13"/>
      <x:c r="N55" s="3"/>
      <x:c r="O55" s="3"/>
      <x:c r="P55" s="3"/>
      <x:c r="Q55" s="3"/>
    </x:row>
    <x:row r="56" ht="20" customHeight="1">
      <x:c r="C56" s="3"/>
      <x:c r="D56" s="42"/>
      <x:c r="E56" s="42"/>
      <x:c r="F56" s="42"/>
      <x:c r="G56" s="42"/>
      <x:c r="H56" s="12"/>
      <x:c r="I56" s="13"/>
      <x:c r="J56" s="13"/>
      <x:c r="K56" s="13"/>
      <x:c r="L56" s="13"/>
      <x:c r="M56" s="13"/>
      <x:c r="N56" s="3"/>
      <x:c r="O56" s="3"/>
      <x:c r="P56" s="3"/>
      <x:c r="Q56" s="3"/>
    </x:row>
    <x:row r="57" ht="20" customHeight="1">
      <x:c r="C57" s="3"/>
      <x:c r="D57" s="42"/>
      <x:c r="E57" s="42"/>
      <x:c r="F57" s="42"/>
      <x:c r="G57" s="42"/>
      <x:c r="H57" s="12"/>
      <x:c r="I57" s="13"/>
      <x:c r="J57" s="13"/>
      <x:c r="K57" s="13"/>
      <x:c r="L57" s="13"/>
      <x:c r="M57" s="13"/>
      <x:c r="N57" s="3"/>
      <x:c r="O57" s="3"/>
      <x:c r="P57" s="3"/>
      <x:c r="Q57" s="3"/>
    </x:row>
    <x:row r="58" ht="20" customHeight="1">
      <x:c r="C58" s="3"/>
      <x:c r="D58" s="42"/>
      <x:c r="E58" s="42"/>
      <x:c r="F58" s="42"/>
      <x:c r="G58" s="42"/>
      <x:c r="H58" s="12"/>
      <x:c r="I58" s="13"/>
      <x:c r="J58" s="13"/>
      <x:c r="K58" s="13"/>
      <x:c r="L58" s="13"/>
      <x:c r="M58" s="13"/>
      <x:c r="N58" s="3"/>
      <x:c r="O58" s="3"/>
      <x:c r="P58" s="3"/>
      <x:c r="Q58" s="3"/>
    </x:row>
    <x:row r="59" ht="20" customHeight="1">
      <x:c r="C59" s="3"/>
      <x:c r="D59" s="42"/>
      <x:c r="E59" s="42"/>
      <x:c r="F59" s="42"/>
      <x:c r="G59" s="42"/>
      <x:c r="H59" s="12"/>
      <x:c r="I59" s="13"/>
      <x:c r="J59" s="13"/>
      <x:c r="K59" s="13"/>
      <x:c r="L59" s="13"/>
      <x:c r="M59" s="13"/>
      <x:c r="N59" s="3"/>
      <x:c r="O59" s="3"/>
      <x:c r="P59" s="3"/>
      <x:c r="Q59" s="3"/>
    </x:row>
    <x:row r="60" ht="20" customHeight="1">
      <x:c r="C60" s="3"/>
      <x:c r="D60" s="42"/>
      <x:c r="E60" s="42"/>
      <x:c r="F60" s="42"/>
      <x:c r="G60" s="42"/>
      <x:c r="H60" s="12"/>
      <x:c r="I60" s="13"/>
      <x:c r="J60" s="13"/>
      <x:c r="K60" s="13"/>
      <x:c r="L60" s="13"/>
      <x:c r="M60" s="13"/>
      <x:c r="N60" s="3"/>
      <x:c r="O60" s="3"/>
      <x:c r="P60" s="3"/>
      <x:c r="Q60" s="3"/>
    </x:row>
    <x:row r="61" ht="20" customHeight="1">
      <x:c r="C61" s="3"/>
      <x:c r="D61" s="42"/>
      <x:c r="E61" s="42"/>
      <x:c r="F61" s="42"/>
      <x:c r="G61" s="42"/>
      <x:c r="H61" s="12"/>
      <x:c r="I61" s="13"/>
      <x:c r="J61" s="13"/>
      <x:c r="K61" s="13"/>
      <x:c r="L61" s="13"/>
      <x:c r="M61" s="13"/>
      <x:c r="N61" s="3"/>
      <x:c r="O61" s="3"/>
      <x:c r="P61" s="3"/>
      <x:c r="Q61" s="3"/>
    </x:row>
    <x:row r="62" ht="20" customHeight="1">
      <x:c r="C62" s="3"/>
      <x:c r="D62" s="42"/>
      <x:c r="E62" s="42"/>
      <x:c r="F62" s="42"/>
      <x:c r="G62" s="42"/>
      <x:c r="H62" s="12"/>
      <x:c r="I62" s="13"/>
      <x:c r="J62" s="13"/>
      <x:c r="K62" s="13"/>
      <x:c r="L62" s="13"/>
      <x:c r="M62" s="13"/>
      <x:c r="N62" s="3"/>
      <x:c r="O62" s="3"/>
      <x:c r="P62" s="3"/>
      <x:c r="Q62" s="3"/>
    </x:row>
    <x:row r="63" ht="20" customHeight="1">
      <x:c r="C63" s="3"/>
      <x:c r="D63" s="42"/>
      <x:c r="E63" s="42"/>
      <x:c r="F63" s="42"/>
      <x:c r="G63" s="42"/>
      <x:c r="H63" s="12"/>
      <x:c r="I63" s="13"/>
      <x:c r="J63" s="13"/>
      <x:c r="K63" s="13"/>
      <x:c r="L63" s="13"/>
      <x:c r="M63" s="13"/>
      <x:c r="N63" s="3"/>
      <x:c r="O63" s="3"/>
      <x:c r="P63" s="3"/>
      <x:c r="Q63" s="3"/>
    </x:row>
    <x:row r="64" ht="20" customHeight="1">
      <x:c r="C64" s="3"/>
      <x:c r="D64" s="42"/>
      <x:c r="E64" s="42"/>
      <x:c r="F64" s="42"/>
      <x:c r="G64" s="42"/>
      <x:c r="H64" s="12"/>
      <x:c r="I64" s="13"/>
      <x:c r="J64" s="13"/>
      <x:c r="K64" s="13"/>
      <x:c r="L64" s="13"/>
      <x:c r="M64" s="13"/>
      <x:c r="N64" s="3"/>
      <x:c r="O64" s="3"/>
      <x:c r="P64" s="3"/>
      <x:c r="Q64" s="3"/>
    </x:row>
    <x:row r="65" ht="20" customHeight="1">
      <x:c r="C65" s="3"/>
      <x:c r="D65" s="42"/>
      <x:c r="E65" s="42"/>
      <x:c r="F65" s="42"/>
      <x:c r="G65" s="42"/>
      <x:c r="H65" s="12"/>
      <x:c r="I65" s="13"/>
      <x:c r="J65" s="13"/>
      <x:c r="K65" s="13"/>
      <x:c r="L65" s="13"/>
      <x:c r="M65" s="13"/>
      <x:c r="N65" s="3"/>
      <x:c r="O65" s="3"/>
      <x:c r="P65" s="3"/>
      <x:c r="Q65" s="3"/>
    </x:row>
    <x:row r="66" ht="20" customHeight="1">
      <x:c r="C66" s="3"/>
      <x:c r="D66" s="42"/>
      <x:c r="E66" s="42"/>
      <x:c r="F66" s="42"/>
      <x:c r="G66" s="42"/>
      <x:c r="H66" s="12"/>
      <x:c r="I66" s="13"/>
      <x:c r="J66" s="13"/>
      <x:c r="K66" s="13"/>
      <x:c r="L66" s="13"/>
      <x:c r="M66" s="13"/>
      <x:c r="N66" s="3"/>
      <x:c r="O66" s="3"/>
      <x:c r="P66" s="3"/>
      <x:c r="Q66" s="3"/>
    </x:row>
    <x:row r="67" ht="20" customHeight="1">
      <x:c r="C67" s="3"/>
      <x:c r="D67" s="42"/>
      <x:c r="E67" s="42"/>
      <x:c r="F67" s="42"/>
      <x:c r="G67" s="42"/>
      <x:c r="H67" s="12"/>
      <x:c r="I67" s="13"/>
      <x:c r="J67" s="13"/>
      <x:c r="K67" s="13"/>
      <x:c r="L67" s="13"/>
      <x:c r="M67" s="13"/>
      <x:c r="N67" s="3"/>
      <x:c r="O67" s="3"/>
      <x:c r="P67" s="3"/>
      <x:c r="Q67" s="3"/>
    </x:row>
    <x:row r="68" ht="20" customHeight="1">
      <x:c r="C68" s="3"/>
      <x:c r="D68" s="42"/>
      <x:c r="E68" s="42"/>
      <x:c r="F68" s="42"/>
      <x:c r="G68" s="42"/>
      <x:c r="H68" s="12"/>
      <x:c r="I68" s="13"/>
      <x:c r="J68" s="13"/>
      <x:c r="K68" s="13"/>
      <x:c r="L68" s="13"/>
      <x:c r="M68" s="13"/>
      <x:c r="N68" s="3"/>
      <x:c r="O68" s="3"/>
      <x:c r="P68" s="3"/>
      <x:c r="Q68" s="3"/>
    </x:row>
    <x:row r="69" ht="20" customHeight="1">
      <x:c r="C69" s="3"/>
      <x:c r="D69" s="42"/>
      <x:c r="E69" s="42"/>
      <x:c r="F69" s="42"/>
      <x:c r="G69" s="42"/>
      <x:c r="H69" s="12"/>
      <x:c r="I69" s="13"/>
      <x:c r="J69" s="13"/>
      <x:c r="K69" s="13"/>
      <x:c r="L69" s="13"/>
      <x:c r="M69" s="13"/>
      <x:c r="N69" s="3"/>
      <x:c r="O69" s="3"/>
      <x:c r="P69" s="3"/>
      <x:c r="Q69" s="3"/>
    </x:row>
    <x:row r="70" ht="20" customHeight="1">
      <x:c r="C70" s="3"/>
      <x:c r="D70" s="42"/>
      <x:c r="E70" s="42"/>
      <x:c r="F70" s="42"/>
      <x:c r="G70" s="42"/>
      <x:c r="H70" s="12"/>
      <x:c r="I70" s="13"/>
      <x:c r="J70" s="13"/>
      <x:c r="K70" s="13"/>
      <x:c r="L70" s="13"/>
      <x:c r="M70" s="13"/>
      <x:c r="N70" s="3"/>
      <x:c r="O70" s="3"/>
      <x:c r="P70" s="3"/>
      <x:c r="Q70" s="3"/>
    </x:row>
    <x:row r="71" ht="20" customHeight="1">
      <x:c r="C71" s="3"/>
      <x:c r="D71" s="42"/>
      <x:c r="E71" s="42"/>
      <x:c r="F71" s="42"/>
      <x:c r="G71" s="42"/>
      <x:c r="H71" s="12"/>
      <x:c r="I71" s="13"/>
      <x:c r="J71" s="13"/>
      <x:c r="K71" s="13"/>
      <x:c r="L71" s="13"/>
      <x:c r="M71" s="13"/>
      <x:c r="N71" s="3"/>
      <x:c r="O71" s="3"/>
      <x:c r="P71" s="3"/>
      <x:c r="Q71" s="3"/>
    </x:row>
    <x:row r="72" ht="20" customHeight="1">
      <x:c r="C72" s="3"/>
      <x:c r="D72" s="42"/>
      <x:c r="E72" s="42"/>
      <x:c r="F72" s="42"/>
      <x:c r="G72" s="42"/>
      <x:c r="H72" s="12"/>
      <x:c r="I72" s="13"/>
      <x:c r="J72" s="13"/>
      <x:c r="K72" s="13"/>
      <x:c r="L72" s="13"/>
      <x:c r="M72" s="13"/>
      <x:c r="N72" s="3"/>
      <x:c r="O72" s="3"/>
      <x:c r="P72" s="3"/>
      <x:c r="Q72" s="3"/>
    </x:row>
    <x:row r="73" ht="20" customHeight="1">
      <x:c r="C73" s="3"/>
      <x:c r="D73" s="42"/>
      <x:c r="E73" s="42"/>
      <x:c r="F73" s="42"/>
      <x:c r="G73" s="42"/>
      <x:c r="H73" s="12"/>
      <x:c r="I73" s="13"/>
      <x:c r="J73" s="13"/>
      <x:c r="K73" s="13"/>
      <x:c r="L73" s="13"/>
      <x:c r="M73" s="13"/>
      <x:c r="N73" s="3"/>
      <x:c r="O73" s="3"/>
      <x:c r="P73" s="3"/>
      <x:c r="Q73" s="3"/>
    </x:row>
    <x:row r="74" ht="20" customHeight="1">
      <x:c r="C74" s="3"/>
      <x:c r="D74" s="42"/>
      <x:c r="E74" s="42"/>
      <x:c r="F74" s="42"/>
      <x:c r="G74" s="42"/>
      <x:c r="H74" s="12"/>
      <x:c r="I74" s="13"/>
      <x:c r="J74" s="13"/>
      <x:c r="K74" s="13"/>
      <x:c r="L74" s="13"/>
      <x:c r="M74" s="13"/>
      <x:c r="N74" s="3"/>
      <x:c r="O74" s="3"/>
      <x:c r="P74" s="3"/>
      <x:c r="Q74" s="3"/>
    </x:row>
    <x:row r="75" ht="20" customHeight="1">
      <x:c r="C75" s="3"/>
      <x:c r="D75" s="42"/>
      <x:c r="E75" s="42"/>
      <x:c r="F75" s="42"/>
      <x:c r="G75" s="42"/>
      <x:c r="H75" s="12"/>
      <x:c r="I75" s="13"/>
      <x:c r="J75" s="13"/>
      <x:c r="K75" s="13"/>
      <x:c r="L75" s="13"/>
      <x:c r="M75" s="13"/>
      <x:c r="N75" s="3"/>
      <x:c r="O75" s="3"/>
      <x:c r="P75" s="3"/>
      <x:c r="Q75" s="3"/>
    </x:row>
    <x:row r="76" ht="20" customHeight="1">
      <x:c r="C76" s="3"/>
      <x:c r="D76" s="42"/>
      <x:c r="E76" s="42"/>
      <x:c r="F76" s="42"/>
      <x:c r="G76" s="42"/>
      <x:c r="H76" s="12"/>
      <x:c r="I76" s="13"/>
      <x:c r="J76" s="13"/>
      <x:c r="K76" s="13"/>
      <x:c r="L76" s="13"/>
      <x:c r="M76" s="13"/>
      <x:c r="N76" s="3"/>
      <x:c r="O76" s="3"/>
      <x:c r="P76" s="3"/>
      <x:c r="Q76" s="3"/>
    </x:row>
    <x:row r="77" ht="20" customHeight="1">
      <x:c r="C77" s="3"/>
      <x:c r="D77" s="42"/>
      <x:c r="E77" s="42"/>
      <x:c r="F77" s="42"/>
      <x:c r="G77" s="42"/>
      <x:c r="H77" s="12"/>
      <x:c r="I77" s="13"/>
      <x:c r="J77" s="13"/>
      <x:c r="K77" s="13"/>
      <x:c r="L77" s="13"/>
      <x:c r="M77" s="13"/>
      <x:c r="N77" s="3"/>
      <x:c r="O77" s="3"/>
      <x:c r="P77" s="3"/>
      <x:c r="Q77" s="3"/>
    </x:row>
    <x:row r="78" ht="20" customHeight="1">
      <x:c r="C78" s="3"/>
      <x:c r="D78" s="42"/>
      <x:c r="E78" s="42"/>
      <x:c r="F78" s="42"/>
      <x:c r="G78" s="42"/>
      <x:c r="H78" s="12"/>
      <x:c r="I78" s="13"/>
      <x:c r="J78" s="13"/>
      <x:c r="K78" s="13"/>
      <x:c r="L78" s="13"/>
      <x:c r="M78" s="13"/>
      <x:c r="N78" s="3"/>
      <x:c r="O78" s="3"/>
      <x:c r="P78" s="3"/>
      <x:c r="Q78" s="3"/>
    </x:row>
    <x:row r="79" ht="20" customHeight="1">
      <x:c r="C79" s="3"/>
      <x:c r="D79" s="42"/>
      <x:c r="E79" s="42"/>
      <x:c r="F79" s="42"/>
      <x:c r="G79" s="42"/>
      <x:c r="H79" s="12"/>
      <x:c r="I79" s="13"/>
      <x:c r="J79" s="13"/>
      <x:c r="K79" s="13"/>
      <x:c r="L79" s="13"/>
      <x:c r="M79" s="13"/>
      <x:c r="N79" s="3"/>
      <x:c r="O79" s="3"/>
      <x:c r="P79" s="3"/>
      <x:c r="Q79" s="3"/>
    </x:row>
    <x:row r="80" ht="20" customHeight="1">
      <x:c r="C80" s="3"/>
      <x:c r="D80" s="42"/>
      <x:c r="E80" s="42"/>
      <x:c r="F80" s="42"/>
      <x:c r="G80" s="42"/>
      <x:c r="H80" s="12"/>
      <x:c r="I80" s="13"/>
      <x:c r="J80" s="13"/>
      <x:c r="K80" s="13"/>
      <x:c r="L80" s="13"/>
      <x:c r="M80" s="13"/>
      <x:c r="N80" s="3"/>
      <x:c r="O80" s="3"/>
      <x:c r="P80" s="3"/>
      <x:c r="Q80" s="3"/>
    </x:row>
    <x:row r="81" ht="20" customHeight="1">
      <x:c r="C81" s="3"/>
      <x:c r="D81" s="42"/>
      <x:c r="E81" s="42"/>
      <x:c r="F81" s="42"/>
      <x:c r="G81" s="42"/>
      <x:c r="H81" s="12"/>
      <x:c r="I81" s="13"/>
      <x:c r="J81" s="13"/>
      <x:c r="K81" s="13"/>
      <x:c r="L81" s="13"/>
      <x:c r="M81" s="13"/>
      <x:c r="N81" s="3"/>
      <x:c r="O81" s="3"/>
      <x:c r="P81" s="3"/>
      <x:c r="Q81" s="3"/>
    </x:row>
    <x:row r="82" ht="20" customHeight="1">
      <x:c r="C82" s="3"/>
      <x:c r="D82" s="42"/>
      <x:c r="E82" s="42"/>
      <x:c r="F82" s="42"/>
      <x:c r="G82" s="42"/>
      <x:c r="H82" s="12"/>
      <x:c r="I82" s="13"/>
      <x:c r="J82" s="13"/>
      <x:c r="K82" s="13"/>
      <x:c r="L82" s="13"/>
      <x:c r="M82" s="13"/>
      <x:c r="N82" s="3"/>
      <x:c r="O82" s="3"/>
      <x:c r="P82" s="3"/>
      <x:c r="Q82" s="3"/>
    </x:row>
    <x:row r="83" ht="20" customHeight="1">
      <x:c r="C83" s="3"/>
      <x:c r="D83" s="42"/>
      <x:c r="E83" s="42"/>
      <x:c r="F83" s="42"/>
      <x:c r="G83" s="42"/>
      <x:c r="H83" s="12"/>
      <x:c r="I83" s="13"/>
      <x:c r="J83" s="13"/>
      <x:c r="K83" s="13"/>
      <x:c r="L83" s="13"/>
      <x:c r="M83" s="13"/>
      <x:c r="N83" s="3"/>
      <x:c r="O83" s="3"/>
      <x:c r="P83" s="3"/>
      <x:c r="Q83" s="3"/>
    </x:row>
    <x:row r="84" ht="20" customHeight="1">
      <x:c r="C84" s="3"/>
      <x:c r="D84" s="42"/>
      <x:c r="E84" s="42"/>
      <x:c r="F84" s="42"/>
      <x:c r="G84" s="42"/>
      <x:c r="H84" s="12"/>
      <x:c r="I84" s="13"/>
      <x:c r="J84" s="13"/>
      <x:c r="K84" s="13"/>
      <x:c r="L84" s="13"/>
      <x:c r="M84" s="13"/>
      <x:c r="N84" s="3"/>
      <x:c r="O84" s="3"/>
      <x:c r="P84" s="3"/>
      <x:c r="Q84" s="3"/>
    </x:row>
    <x:row r="85" ht="20" customHeight="1">
      <x:c r="C85" s="3"/>
      <x:c r="D85" s="42"/>
      <x:c r="E85" s="42"/>
      <x:c r="F85" s="42"/>
      <x:c r="G85" s="42"/>
      <x:c r="H85" s="12"/>
      <x:c r="I85" s="13"/>
      <x:c r="J85" s="13"/>
      <x:c r="K85" s="13"/>
      <x:c r="L85" s="13"/>
      <x:c r="M85" s="13"/>
      <x:c r="N85" s="3"/>
      <x:c r="O85" s="3"/>
      <x:c r="P85" s="3"/>
      <x:c r="Q85" s="3"/>
    </x:row>
    <x:row r="86" ht="20" customHeight="1">
      <x:c r="C86" s="3"/>
      <x:c r="D86" s="42"/>
      <x:c r="E86" s="42"/>
      <x:c r="F86" s="42"/>
      <x:c r="G86" s="42"/>
      <x:c r="H86" s="12"/>
      <x:c r="I86" s="13"/>
      <x:c r="J86" s="13"/>
      <x:c r="K86" s="13"/>
      <x:c r="L86" s="13"/>
      <x:c r="M86" s="13"/>
      <x:c r="N86" s="3"/>
      <x:c r="O86" s="3"/>
      <x:c r="P86" s="3"/>
      <x:c r="Q86" s="3"/>
    </x:row>
    <x:row r="87" ht="20" customHeight="1">
      <x:c r="C87" s="3"/>
      <x:c r="D87" s="42"/>
      <x:c r="E87" s="42"/>
      <x:c r="F87" s="42"/>
      <x:c r="G87" s="42"/>
      <x:c r="H87" s="12"/>
      <x:c r="I87" s="13"/>
      <x:c r="J87" s="13"/>
      <x:c r="K87" s="13"/>
      <x:c r="L87" s="13"/>
      <x:c r="M87" s="13"/>
      <x:c r="N87" s="3"/>
      <x:c r="O87" s="3"/>
      <x:c r="P87" s="3"/>
      <x:c r="Q87" s="3"/>
    </x:row>
    <x:row r="88" ht="20" customHeight="1">
      <x:c r="C88" s="3"/>
      <x:c r="D88" s="42"/>
      <x:c r="E88" s="42"/>
      <x:c r="F88" s="42"/>
      <x:c r="G88" s="42"/>
      <x:c r="H88" s="12"/>
      <x:c r="I88" s="13"/>
      <x:c r="J88" s="13"/>
      <x:c r="K88" s="13"/>
      <x:c r="L88" s="13"/>
      <x:c r="M88" s="13"/>
      <x:c r="N88" s="3"/>
      <x:c r="O88" s="3"/>
      <x:c r="P88" s="3"/>
      <x:c r="Q88" s="3"/>
    </x:row>
    <x:row r="89" ht="20" customHeight="1">
      <x:c r="C89" s="3"/>
      <x:c r="D89" s="42"/>
      <x:c r="E89" s="42"/>
      <x:c r="F89" s="42"/>
      <x:c r="G89" s="42"/>
      <x:c r="H89" s="12"/>
      <x:c r="I89" s="13"/>
      <x:c r="J89" s="13"/>
      <x:c r="K89" s="13"/>
      <x:c r="L89" s="13"/>
      <x:c r="M89" s="13"/>
      <x:c r="N89" s="3"/>
      <x:c r="O89" s="3"/>
      <x:c r="P89" s="3"/>
      <x:c r="Q89" s="3"/>
    </x:row>
    <x:row r="90" ht="20" customHeight="1">
      <x:c r="C90" s="3"/>
      <x:c r="D90" s="42"/>
      <x:c r="E90" s="42"/>
      <x:c r="F90" s="42"/>
      <x:c r="G90" s="42"/>
      <x:c r="H90" s="12"/>
      <x:c r="I90" s="13"/>
      <x:c r="J90" s="13"/>
      <x:c r="K90" s="13"/>
      <x:c r="L90" s="13"/>
      <x:c r="M90" s="13"/>
      <x:c r="N90" s="3"/>
      <x:c r="O90" s="3"/>
      <x:c r="P90" s="3"/>
      <x:c r="Q90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93B5A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3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" hidden="0" customWidth="1"/>
    <x:col min="15" max="15" width="110" hidden="0" customWidth="1"/>
    <x:col min="16" max="16" width="16" hidden="0" customWidth="1"/>
    <x:col min="17" max="17" width="16" hidden="0" customWidth="1"/>
  </x:cols>
  <x:sheetData>
    <x:row r="1" ht="20" customHeight="1"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C2" s="7" t="str">
        <x:v>Discounted cash flow valuation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3"/>
      <x:c r="O2" s="3"/>
      <x:c r="P2" s="3"/>
      <x:c r="Q2" s="3"/>
    </x:row>
    <x:row r="3" ht="20" customHeight="1">
      <x:c r="C3" s="8" t="str">
        <x:v>USD millions except shares (millions), per-share values and rates</x:v>
      </x:c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3"/>
      <x:c r="O3" s="3"/>
      <x:c r="P3" s="3"/>
      <x:c r="Q3" s="3"/>
    </x:row>
    <x:row r="4" ht="24" customHeight="1">
      <x:c r="C4" s="11" t="str">
        <x:v>VALUATION INPUTS</x:v>
      </x:c>
      <x:c r="D4" s="11"/>
      <x:c r="E4" s="11"/>
      <x:c r="F4" s="11"/>
      <x:c r="G4" s="11"/>
      <x:c r="H4" s="11"/>
      <x:c r="I4" s="11" t="str">
        <x:v>FY:27 F</x:v>
      </x:c>
      <x:c r="J4" s="11" t="str">
        <x:v>FY:28 F</x:v>
      </x:c>
      <x:c r="K4" s="11" t="str">
        <x:v>FY:29 F</x:v>
      </x:c>
      <x:c r="L4" s="11" t="str">
        <x:v>FY:30 F</x:v>
      </x:c>
      <x:c r="M4" s="11" t="str">
        <x:v>FY:31 F</x:v>
      </x:c>
      <x:c r="N4" s="3"/>
      <x:c r="O4" s="3"/>
      <x:c r="P4" s="3"/>
      <x:c r="Q4" s="3"/>
    </x:row>
    <x:row r="5" ht="20" customHeight="1">
      <x:c r="C5" s="3"/>
      <x:c r="D5" s="42"/>
      <x:c r="E5" s="42"/>
      <x:c r="F5" s="42"/>
      <x:c r="G5" s="42"/>
      <x:c r="H5" s="42"/>
      <x:c r="I5" s="13"/>
      <x:c r="J5" s="13"/>
      <x:c r="K5" s="13"/>
      <x:c r="L5" s="13"/>
      <x:c r="M5" s="13"/>
      <x:c r="N5" s="3"/>
      <x:c r="O5" s="3"/>
      <x:c r="P5" s="3"/>
      <x:c r="Q5" s="3"/>
    </x:row>
    <x:row r="6" ht="20" customHeight="1">
      <x:c r="C6" s="3" t="str">
        <x:v>Risk-free rate</x:v>
      </x:c>
      <x:c r="D6" s="88" t="n">
        <x:f>'Actuals'!H112</x:f>
        <x:v>0.05</x:v>
      </x:c>
      <x:c r="E6" s="42"/>
      <x:c r="F6" s="42"/>
      <x:c r="G6" s="42"/>
      <x:c r="H6" s="42"/>
      <x:c r="I6" s="13"/>
      <x:c r="J6" s="13"/>
      <x:c r="K6" s="13"/>
      <x:c r="L6" s="13"/>
      <x:c r="M6" s="13"/>
      <x:c r="N6" s="3"/>
      <x:c r="O6" s="36" t="str">
        <x:v>Source rates and price are frozen to the collected October 26, 2026 research snapshot.</x:v>
      </x:c>
      <x:c r="P6" s="3"/>
      <x:c r="Q6" s="3"/>
    </x:row>
    <x:row r="7" ht="20" customHeight="1">
      <x:c r="C7" s="3" t="str">
        <x:v>Equity risk premium</x:v>
      </x:c>
      <x:c r="D7" s="88" t="n">
        <x:f>'Actuals'!H113</x:f>
        <x:v>0.0446</x:v>
      </x:c>
      <x:c r="E7" s="42"/>
      <x:c r="F7" s="42"/>
      <x:c r="G7" s="42"/>
      <x:c r="H7" s="42" t="str">
        <x:v>Operating income</x:v>
      </x:c>
      <x:c r="I7" s="13" t="n">
        <x:f>'Statements'!I13</x:f>
        <x:v>184113.3085886167</x:v>
      </x:c>
      <x:c r="J7" s="13" t="n">
        <x:f>'Statements'!J13</x:f>
        <x:v>215512.47952187026</x:v>
      </x:c>
      <x:c r="K7" s="13" t="n">
        <x:f>'Statements'!K13</x:f>
        <x:v>251175.7729869972</x:v>
      </x:c>
      <x:c r="L7" s="13" t="n">
        <x:f>'Statements'!L13</x:f>
        <x:v>289710.1087721545</x:v>
      </x:c>
      <x:c r="M7" s="13" t="n">
        <x:f>'Statements'!M13</x:f>
        <x:v>323280.85647072986</x:v>
      </x:c>
      <x:c r="N7" s="3"/>
      <x:c r="O7" s="3"/>
      <x:c r="P7" s="3"/>
      <x:c r="Q7" s="3"/>
    </x:row>
    <x:row r="8" ht="20" customHeight="1">
      <x:c r="C8" s="3" t="str">
        <x:v>Beta</x:v>
      </x:c>
      <x:c r="D8" s="74" t="n">
        <x:f>'Actuals'!H114</x:f>
        <x:v>1.0527416388506674</x:v>
      </x:c>
      <x:c r="E8" s="42"/>
      <x:c r="F8" s="42"/>
      <x:c r="G8" s="42"/>
      <x:c r="H8" s="42" t="str">
        <x:v>Normalized operating tax</x:v>
      </x:c>
      <x:c r="I8" s="13" t="n">
        <x:f>-I7*'Assumptions'!I15</x:f>
        <x:v>-36822.66171772334</x:v>
      </x:c>
      <x:c r="J8" s="13" t="n">
        <x:f>-J7*'Assumptions'!J15</x:f>
        <x:v>-43102.49590437405</x:v>
      </x:c>
      <x:c r="K8" s="13" t="n">
        <x:f>-K7*'Assumptions'!K15</x:f>
        <x:v>-50235.15459739944</x:v>
      </x:c>
      <x:c r="L8" s="13" t="n">
        <x:f>-L7*'Assumptions'!L15</x:f>
        <x:v>-57942.0217544309</x:v>
      </x:c>
      <x:c r="M8" s="13" t="n">
        <x:f>-M7*'Assumptions'!M15</x:f>
        <x:v>-64656.17129414598</x:v>
      </x:c>
      <x:c r="N8" s="3"/>
      <x:c r="O8" s="3"/>
      <x:c r="P8" s="3"/>
      <x:c r="Q8" s="3"/>
    </x:row>
    <x:row r="9" ht="20" customHeight="1">
      <x:c r="C9" s="3" t="str">
        <x:v>Cost of equity</x:v>
      </x:c>
      <x:c r="D9" s="45" t="n">
        <x:f>D6+D8*D7</x:f>
        <x:v>0.09695227709273976</x:v>
      </x:c>
      <x:c r="E9" s="42"/>
      <x:c r="F9" s="42"/>
      <x:c r="G9" s="42"/>
      <x:c r="H9" s="50" t="str">
        <x:v>After-tax operating profit</x:v>
      </x:c>
      <x:c r="I9" s="70" t="n">
        <x:f>SUM(I7:I8)</x:f>
        <x:v>147290.64687089337</x:v>
      </x:c>
      <x:c r="J9" s="70" t="n">
        <x:f>SUM(J7:J8)</x:f>
        <x:v>172409.9836174962</x:v>
      </x:c>
      <x:c r="K9" s="70" t="n">
        <x:f>SUM(K7:K8)</x:f>
        <x:v>200940.61838959777</x:v>
      </x:c>
      <x:c r="L9" s="70" t="n">
        <x:f>SUM(L7:L8)</x:f>
        <x:v>231768.0870177236</x:v>
      </x:c>
      <x:c r="M9" s="70" t="n">
        <x:f>SUM(M7:M8)</x:f>
        <x:v>258624.68517658388</x:v>
      </x:c>
      <x:c r="N9" s="3"/>
      <x:c r="O9" s="3"/>
      <x:c r="P9" s="3"/>
      <x:c r="Q9" s="3"/>
    </x:row>
    <x:row r="10" ht="20" customHeight="1">
      <x:c r="C10" s="3" t="str">
        <x:v>Marginal corporate debt spread</x:v>
      </x:c>
      <x:c r="D10" s="88" t="n">
        <x:f>'Assumptions'!I35</x:f>
        <x:v>0.0055</x:v>
      </x:c>
      <x:c r="E10" s="42"/>
      <x:c r="F10" s="42"/>
      <x:c r="G10" s="42"/>
      <x:c r="H10" s="42" t="str">
        <x:v>Depreciation and acquired amortization</x:v>
      </x:c>
      <x:c r="I10" s="13" t="n">
        <x:f>'Capital'!I21</x:f>
        <x:v>52774.81416853333</x:v>
      </x:c>
      <x:c r="J10" s="13" t="n">
        <x:f>'Capital'!J21</x:f>
        <x:v>75535.76826366506</x:v>
      </x:c>
      <x:c r="K10" s="13" t="n">
        <x:f>'Capital'!K21</x:f>
        <x:v>99092.65102179119</x:v>
      </x:c>
      <x:c r="L10" s="13" t="n">
        <x:f>'Capital'!L21</x:f>
        <x:v>122489.04094354613</x:v>
      </x:c>
      <x:c r="M10" s="13" t="n">
        <x:f>'Capital'!M21</x:f>
        <x:v>146058.81180385084</x:v>
      </x:c>
      <x:c r="N10" s="3"/>
      <x:c r="O10" s="3"/>
      <x:c r="P10" s="3"/>
      <x:c r="Q10" s="3"/>
    </x:row>
    <x:row r="11" ht="20" customHeight="1">
      <x:c r="C11" s="3" t="str">
        <x:v>Marginal pretax cost of debt</x:v>
      </x:c>
      <x:c r="D11" s="45" t="n">
        <x:f>SUM(D6,D10)</x:f>
        <x:v>0.0555</x:v>
      </x:c>
      <x:c r="E11" s="42"/>
      <x:c r="F11" s="42"/>
      <x:c r="G11" s="42"/>
      <x:c r="H11" s="42" t="str">
        <x:v>Cash capital expenditure</x:v>
      </x:c>
      <x:c r="I11" s="13" t="n">
        <x:f>-'Capital'!I7</x:f>
        <x:v>-167793.30539999998</x:v>
      </x:c>
      <x:c r="J11" s="13" t="n">
        <x:f>-'Capital'!J7</x:f>
        <x:v>-175814.109382</x:v>
      </x:c>
      <x:c r="K11" s="13" t="n">
        <x:f>-'Capital'!K7</x:f>
        <x:v>-177764.56019008</x:v>
      </x:c>
      <x:c r="L11" s="13" t="n">
        <x:f>-'Capital'!L7</x:f>
        <x:v>-178114.95447417282</x:v>
      </x:c>
      <x:c r="M11" s="13" t="n">
        <x:f>-'Capital'!M7</x:f>
        <x:v>-177913.06635674817</x:v>
      </x:c>
      <x:c r="N11" s="3"/>
      <x:c r="O11" s="3"/>
      <x:c r="P11" s="3"/>
      <x:c r="Q11" s="3"/>
    </x:row>
    <x:row r="12" ht="20" customHeight="1">
      <x:c r="C12" s="3" t="str">
        <x:v>Normalized tax rate</x:v>
      </x:c>
      <x:c r="D12" s="88" t="n">
        <x:f>'Assumptions'!M15</x:f>
        <x:v>0.2</x:v>
      </x:c>
      <x:c r="E12" s="42"/>
      <x:c r="F12" s="42"/>
      <x:c r="G12" s="42"/>
      <x:c r="H12" s="42" t="str">
        <x:v>Noncash finance-lease asset additions</x:v>
      </x:c>
      <x:c r="I12" s="13" t="n">
        <x:f>-'Capital'!I9</x:f>
        <x:v>-15980.3148</x:v>
      </x:c>
      <x:c r="J12" s="13" t="n">
        <x:f>-'Capital'!J9</x:f>
        <x:v>-16631.064401000003</x:v>
      </x:c>
      <x:c r="K12" s="13" t="n">
        <x:f>-'Capital'!K9</x:f>
        <x:v>-16665.42751782</x:v>
      </x:c>
      <x:c r="L12" s="13" t="n">
        <x:f>-'Capital'!L9</x:f>
        <x:v>-15903.120935194</x:v>
      </x:c>
      <x:c r="M12" s="13" t="n">
        <x:f>-'Capital'!M9</x:f>
        <x:v>-14233.045308539853</x:v>
      </x:c>
      <x:c r="N12" s="3"/>
      <x:c r="O12" s="3"/>
      <x:c r="P12" s="3"/>
      <x:c r="Q12" s="3"/>
    </x:row>
    <x:row r="13" ht="20" customHeight="1">
      <x:c r="C13" s="3" t="str">
        <x:v>Market value of equity at observed price</x:v>
      </x:c>
      <x:c r="D13" s="74" t="n">
        <x:f>D35*'Actuals'!H110</x:f>
        <x:v>3948753.7114261743</x:v>
      </x:c>
      <x:c r="E13" s="42"/>
      <x:c r="F13" s="42"/>
      <x:c r="G13" s="42"/>
      <x:c r="H13" s="42" t="str">
        <x:v>Change in operating working capital</x:v>
      </x:c>
      <x:c r="I13" s="13" t="n">
        <x:f>'Statements'!H101-'Statements'!I101</x:f>
        <x:v>-227.70168014663068</x:v>
      </x:c>
      <x:c r="J13" s="13" t="n">
        <x:f>'Statements'!I101-'Statements'!J101</x:f>
        <x:v>-70.21109195282042</x:v>
      </x:c>
      <x:c r="K13" s="13" t="n">
        <x:f>'Statements'!J101-'Statements'!K101</x:f>
        <x:v>-249.76171969592906</x:v>
      </x:c>
      <x:c r="L13" s="13" t="n">
        <x:f>'Statements'!K101-'Statements'!L101</x:f>
        <x:v>-444.91744991470114</x:v>
      </x:c>
      <x:c r="M13" s="13" t="n">
        <x:f>'Statements'!L101-'Statements'!M101</x:f>
        <x:v>53.14379958231439</x:v>
      </x:c>
      <x:c r="N13" s="3"/>
      <x:c r="O13" s="3"/>
      <x:c r="P13" s="3"/>
      <x:c r="Q13" s="3"/>
    </x:row>
    <x:row r="14" ht="20" customHeight="1">
      <x:c r="C14" s="3" t="str">
        <x:v>Debt and finance leases at valuation date</x:v>
      </x:c>
      <x:c r="D14" s="42" t="n">
        <x:f>SUM(D30:D31)</x:f>
        <x:v>110522.2116227608</x:v>
      </x:c>
      <x:c r="E14" s="42"/>
      <x:c r="F14" s="42"/>
      <x:c r="G14" s="42"/>
      <x:c r="H14" s="50" t="str">
        <x:v>Unlevered free cash flow</x:v>
      </x:c>
      <x:c r="I14" s="70" t="n">
        <x:f>SUM(I9:I13)</x:f>
        <x:v>16064.139159280094</x:v>
      </x:c>
      <x:c r="J14" s="70" t="n">
        <x:f>SUM(J9:J13)</x:f>
        <x:v>55430.36700620845</x:v>
      </x:c>
      <x:c r="K14" s="70" t="n">
        <x:f>SUM(K9:K13)</x:f>
        <x:v>105353.51998379303</x:v>
      </x:c>
      <x:c r="L14" s="70" t="n">
        <x:f>SUM(L9:L13)</x:f>
        <x:v>159794.13510198818</x:v>
      </x:c>
      <x:c r="M14" s="70" t="n">
        <x:f>SUM(M9:M13)</x:f>
        <x:v>212590.52911472906</x:v>
      </x:c>
      <x:c r="N14" s="3"/>
      <x:c r="O14" s="3"/>
      <x:c r="P14" s="3"/>
      <x:c r="Q14" s="3"/>
    </x:row>
    <x:row r="15" ht="20" customHeight="1">
      <x:c r="C15" s="3" t="str">
        <x:v>Equity weight</x:v>
      </x:c>
      <x:c r="D15" s="45" t="n">
        <x:f>D13/SUM(D13:D14)</x:f>
        <x:v>0.9727729246008615</x:v>
      </x:c>
      <x:c r="E15" s="42"/>
      <x:c r="F15" s="42"/>
      <x:c r="G15" s="42"/>
      <x:c r="H15" s="42" t="str">
        <x:v>Portion after valuation date</x:v>
      </x:c>
      <x:c r="I15" s="89" t="n">
        <x:f>$D$24</x:f>
        <x:v>0.6767123287671233</x:v>
      </x:c>
      <x:c r="J15" s="89" t="n">
        <x:f>1</x:f>
        <x:v>1</x:v>
      </x:c>
      <x:c r="K15" s="89" t="n">
        <x:f>1</x:f>
        <x:v>1</x:v>
      </x:c>
      <x:c r="L15" s="89" t="n">
        <x:f>1</x:f>
        <x:v>1</x:v>
      </x:c>
      <x:c r="M15" s="89" t="n">
        <x:f>1</x:f>
        <x:v>1</x:v>
      </x:c>
      <x:c r="N15" s="3"/>
      <x:c r="O15" s="3"/>
      <x:c r="P15" s="3"/>
      <x:c r="Q15" s="3"/>
    </x:row>
    <x:row r="16" ht="20" customHeight="1">
      <x:c r="C16" s="20" t="str">
        <x:v>Calculated WACC</x:v>
      </x:c>
      <x:c r="D16" s="99" t="n">
        <x:f>D9*D15+D11*(1-D12)*(1-D15)</x:f>
        <x:v>0.09552143228193932</x:v>
      </x:c>
      <x:c r="E16" s="42"/>
      <x:c r="F16" s="42"/>
      <x:c r="G16" s="42"/>
      <x:c r="H16" s="42" t="str">
        <x:v>Cash flow after valuation date</x:v>
      </x:c>
      <x:c r="I16" s="5" t="n">
        <x:f>I14*I15</x:f>
        <x:v>10870.80102011557</x:v>
      </x:c>
      <x:c r="J16" s="5" t="n">
        <x:f>J14*J15</x:f>
        <x:v>55430.36700620845</x:v>
      </x:c>
      <x:c r="K16" s="5" t="n">
        <x:f>K14*K15</x:f>
        <x:v>105353.51998379303</x:v>
      </x:c>
      <x:c r="L16" s="5" t="n">
        <x:f>L14*L15</x:f>
        <x:v>159794.13510198818</x:v>
      </x:c>
      <x:c r="M16" s="5" t="n">
        <x:f>M14*M15</x:f>
        <x:v>212590.52911472906</x:v>
      </x:c>
      <x:c r="N16" s="3"/>
      <x:c r="O16" s="3"/>
      <x:c r="P16" s="3"/>
      <x:c r="Q16" s="3"/>
    </x:row>
    <x:row r="17" ht="20" customHeight="1">
      <x:c r="C17" s="20" t="str">
        <x:v>WACC applied to DCF</x:v>
      </x:c>
      <x:c r="D17" s="99" t="n">
        <x:f>D16</x:f>
        <x:v>0.09552143228193932</x:v>
      </x:c>
      <x:c r="E17" s="42"/>
      <x:c r="F17" s="42"/>
      <x:c r="G17" s="42"/>
      <x:c r="H17" s="42" t="str">
        <x:v>Years to fiscal year-end</x:v>
      </x:c>
      <x:c r="I17" s="90" t="n">
        <x:f>(DATE(2027,6,30)-$D$20)/365.25</x:f>
        <x:v>0.676249144421629</x:v>
      </x:c>
      <x:c r="J17" s="90" t="n">
        <x:f>(DATE(2028,6,30)-$D$20)/365.25</x:f>
        <x:v>1.678302532511978</x:v>
      </x:c>
      <x:c r="K17" s="90" t="n">
        <x:f>(DATE(2029,6,30)-$D$20)/365.25</x:f>
        <x:v>2.6776180698151952</x:v>
      </x:c>
      <x:c r="L17" s="90" t="n">
        <x:f>(DATE(2030,6,30)-$D$20)/365.25</x:f>
        <x:v>3.676933607118412</x:v>
      </x:c>
      <x:c r="M17" s="90" t="n">
        <x:f>(DATE(2031,6,30)-$D$20)/365.25</x:f>
        <x:v>4.676249144421629</x:v>
      </x:c>
      <x:c r="N17" s="3"/>
      <x:c r="O17" s="36" t="str">
        <x:v>Linked to calculated WACC. Data table varies this cell directly. Restore =D16 after manual WACC tests.</x:v>
      </x:c>
      <x:c r="P17" s="3"/>
      <x:c r="Q17" s="3"/>
    </x:row>
    <x:row r="18" ht="20" customHeight="1">
      <x:c r="C18" s="3" t="str">
        <x:v>Terminal growth rate</x:v>
      </x:c>
      <x:c r="D18" s="39" t="n">
        <x:v>0.03</x:v>
      </x:c>
      <x:c r="E18" s="42"/>
      <x:c r="F18" s="42"/>
      <x:c r="G18" s="42"/>
      <x:c r="H18" s="42" t="str">
        <x:v>Discount factor</x:v>
      </x:c>
      <x:c r="I18" s="89" t="n">
        <x:f>(1+$D$17)^(-I17)</x:f>
        <x:v>0.9401700558915751</x:v>
      </x:c>
      <x:c r="J18" s="89" t="n">
        <x:f>(1+$D$17)^(-J17)</x:f>
        <x:v>0.8580333722509911</x:v>
      </x:c>
      <x:c r="K18" s="89" t="n">
        <x:f>(1+$D$17)^(-K17)</x:f>
        <x:v>0.7832680653552476</x:v>
      </x:c>
      <x:c r="L18" s="89" t="n">
        <x:f>(1+$D$17)^(-L17)</x:f>
        <x:v>0.7150174830564627</x:v>
      </x:c>
      <x:c r="M18" s="89" t="n">
        <x:f>(1+$D$17)^(-M17)</x:f>
        <x:v>0.6527139605066419</x:v>
      </x:c>
      <x:c r="N18" s="3"/>
      <x:c r="O18" s="3"/>
      <x:c r="P18" s="3"/>
      <x:c r="Q18" s="3"/>
    </x:row>
    <x:row r="19" ht="20" customHeight="1">
      <x:c r="C19" s="3" t="str">
        <x:v>Terminal return on invested capital</x:v>
      </x:c>
      <x:c r="D19" s="39" t="n">
        <x:v>0.2</x:v>
      </x:c>
      <x:c r="E19" s="42"/>
      <x:c r="F19" s="42"/>
      <x:c r="G19" s="42"/>
      <x:c r="H19" s="50" t="str">
        <x:v>Present value of free cash flow</x:v>
      </x:c>
      <x:c r="I19" s="70" t="n">
        <x:f>I16*I18</x:f>
        <x:v>10220.401602668248</x:v>
      </x:c>
      <x:c r="J19" s="70" t="n">
        <x:f>J16*J18</x:f>
        <x:v>47561.104727447106</x:v>
      </x:c>
      <x:c r="K19" s="70" t="n">
        <x:f>K16*K18</x:f>
        <x:v>82520.04777607098</x:v>
      </x:c>
      <x:c r="L19" s="70" t="n">
        <x:f>L16*L18</x:f>
        <x:v>114255.60028780796</x:v>
      </x:c>
      <x:c r="M19" s="70" t="n">
        <x:f>M16*M18</x:f>
        <x:v>138760.80622467736</x:v>
      </x:c>
      <x:c r="N19" s="3"/>
      <x:c r="O19" s="36" t="str">
        <x:v>Analyst terminal ROIC: 20%. Net reinvestment = terminal NOPAT × growth / ROIC.</x:v>
      </x:c>
      <x:c r="P19" s="3"/>
      <x:c r="Q19" s="3"/>
    </x:row>
    <x:row r="20" ht="20" customHeight="1">
      <x:c r="C20" s="3" t="str">
        <x:v>Valuation date</x:v>
      </x:c>
      <x:c r="D20" s="44" t="d">
        <x:v>2026-10-26T00:00:00.000Z</x:v>
      </x:c>
      <x:c r="E20" s="42"/>
      <x:c r="F20" s="42"/>
      <x:c r="G20" s="42"/>
      <x:c r="H20" s="42"/>
      <x:c r="I20" s="13"/>
      <x:c r="J20" s="13"/>
      <x:c r="K20" s="13"/>
      <x:c r="L20" s="13"/>
      <x:c r="M20" s="13"/>
      <x:c r="N20" s="3"/>
      <x:c r="O20" s="3"/>
      <x:c r="P20" s="3"/>
      <x:c r="Q20" s="3"/>
    </x:row>
    <x:row r="21" ht="20" customHeight="1">
      <x:c r="C21" s="3" t="str">
        <x:v>Last reported fiscal year-end</x:v>
      </x:c>
      <x:c r="D21" s="44" t="d">
        <x:v>2026-06-30T00:00:00.000Z</x:v>
      </x:c>
      <x:c r="E21" s="42"/>
      <x:c r="F21" s="42"/>
      <x:c r="G21" s="42"/>
      <x:c r="H21" s="42"/>
      <x:c r="I21" s="13"/>
      <x:c r="J21" s="13"/>
      <x:c r="K21" s="13"/>
      <x:c r="L21" s="13"/>
      <x:c r="M21" s="13"/>
      <x:c r="N21" s="3"/>
      <x:c r="O21" s="3"/>
      <x:c r="P21" s="3"/>
      <x:c r="Q21" s="3"/>
    </x:row>
    <x:row r="22" ht="20" customHeight="1">
      <x:c r="C22" s="3" t="str">
        <x:v>FY2027 forecast fiscal year-end</x:v>
      </x:c>
      <x:c r="D22" s="44" t="d">
        <x:v>2027-06-30T00:00:00.000Z</x:v>
      </x:c>
      <x:c r="E22" s="42"/>
      <x:c r="F22" s="42"/>
      <x:c r="G22" s="42"/>
      <x:c r="H22" s="42" t="str">
        <x:v>Terminal-year revenue</x:v>
      </x:c>
      <x:c r="I22" s="13"/>
      <x:c r="J22" s="13"/>
      <x:c r="K22" s="13"/>
      <x:c r="L22" s="13"/>
      <x:c r="M22" s="13" t="n">
        <x:f>'Statements'!M7*(1+$D$18)</x:f>
        <x:v>733001.8333898025</x:v>
      </x:c>
      <x:c r="N22" s="3"/>
      <x:c r="O22" s="3"/>
      <x:c r="P22" s="3"/>
      <x:c r="Q22" s="3"/>
    </x:row>
    <x:row r="23" ht="20" customHeight="1">
      <x:c r="C23" s="3" t="str">
        <x:v>Estimated FY2027 elapsed fraction</x:v>
      </x:c>
      <x:c r="D23" s="45" t="n">
        <x:f>(D20-D21)/(D22-D21)</x:f>
        <x:v>0.3232876712328767</x:v>
      </x:c>
      <x:c r="E23" s="42"/>
      <x:c r="F23" s="42"/>
      <x:c r="G23" s="42"/>
      <x:c r="H23" s="42" t="str">
        <x:v>Terminal operating margin</x:v>
      </x:c>
      <x:c r="I23" s="24"/>
      <x:c r="J23" s="24"/>
      <x:c r="K23" s="24"/>
      <x:c r="L23" s="24"/>
      <x:c r="M23" s="24" t="n">
        <x:f>'Statements'!M13/'Statements'!M7</x:f>
        <x:v>0.4542680072503679</x:v>
      </x:c>
      <x:c r="N23" s="3"/>
      <x:c r="O23" s="36" t="str">
        <x:v>Elapsed fraction rolls June 30 balances and shares to October 26 using FY2027 forecast changes.</x:v>
      </x:c>
      <x:c r="P23" s="3"/>
      <x:c r="Q23" s="3"/>
    </x:row>
    <x:row r="24" ht="20" customHeight="1">
      <x:c r="C24" s="3" t="str">
        <x:v>FY2027 remaining fraction</x:v>
      </x:c>
      <x:c r="D24" s="45" t="n">
        <x:f>1-D23</x:f>
        <x:v>0.6767123287671233</x:v>
      </x:c>
      <x:c r="E24" s="42"/>
      <x:c r="F24" s="42"/>
      <x:c r="G24" s="42"/>
      <x:c r="H24" s="42" t="str">
        <x:v>Terminal operating profit</x:v>
      </x:c>
      <x:c r="I24" s="13"/>
      <x:c r="J24" s="13"/>
      <x:c r="K24" s="13"/>
      <x:c r="L24" s="13"/>
      <x:c r="M24" s="5" t="n">
        <x:f>M22*M23</x:f>
        <x:v>332979.2821648518</x:v>
      </x:c>
      <x:c r="N24" s="3"/>
      <x:c r="O24" s="36" t="str">
        <x:v>Only remaining FY2027 FCF is valued. Cash flows assumed uniform within FY2027 and paid at fiscal year-end.</x:v>
      </x:c>
      <x:c r="P24" s="3"/>
      <x:c r="Q24" s="3"/>
    </x:row>
    <x:row r="25" ht="20" customHeight="1">
      <x:c r="C25" s="3"/>
      <x:c r="D25" s="42"/>
      <x:c r="E25" s="42"/>
      <x:c r="F25" s="42"/>
      <x:c r="G25" s="42"/>
      <x:c r="H25" s="42" t="str">
        <x:v>Terminal after-tax operating profit</x:v>
      </x:c>
      <x:c r="I25" s="13"/>
      <x:c r="J25" s="13"/>
      <x:c r="K25" s="13"/>
      <x:c r="L25" s="13"/>
      <x:c r="M25" s="5" t="n">
        <x:f>M24*(1-$D$12)</x:f>
        <x:v>266383.42573188146</x:v>
      </x:c>
      <x:c r="N25" s="3"/>
      <x:c r="O25" s="3"/>
      <x:c r="P25" s="3"/>
      <x:c r="Q25" s="3"/>
    </x:row>
    <x:row r="26" ht="20" customHeight="1">
      <x:c r="C26" s="3" t="str">
        <x:v>PV of five-year forecast cash flows</x:v>
      </x:c>
      <x:c r="D26" s="42" t="n">
        <x:f>SUM(I19:M19)</x:f>
        <x:v>393317.9606186716</x:v>
      </x:c>
      <x:c r="E26" s="42"/>
      <x:c r="F26" s="42"/>
      <x:c r="G26" s="42"/>
      <x:c r="H26" s="42" t="str">
        <x:v>Terminal net reinvestment</x:v>
      </x:c>
      <x:c r="I26" s="13"/>
      <x:c r="J26" s="13"/>
      <x:c r="K26" s="13"/>
      <x:c r="L26" s="13"/>
      <x:c r="M26" s="5" t="n">
        <x:f>M25*$D$18/$D$19</x:f>
        <x:v>39957.513859782215</x:v>
      </x:c>
      <x:c r="N26" s="3"/>
      <x:c r="O26" s="3"/>
      <x:c r="P26" s="3"/>
      <x:c r="Q26" s="3"/>
    </x:row>
    <x:row r="27" ht="20" customHeight="1">
      <x:c r="C27" s="3" t="str">
        <x:v>PV of terminal value</x:v>
      </x:c>
      <x:c r="D27" s="42" t="n">
        <x:f>M29</x:f>
        <x:v>2255618.483176897</x:v>
      </x:c>
      <x:c r="E27" s="42"/>
      <x:c r="F27" s="42"/>
      <x:c r="G27" s="42"/>
      <x:c r="H27" s="50" t="str">
        <x:v>Terminal unlevered free cash flow</x:v>
      </x:c>
      <x:c r="I27" s="22"/>
      <x:c r="J27" s="22"/>
      <x:c r="K27" s="22"/>
      <x:c r="L27" s="22"/>
      <x:c r="M27" s="70" t="n">
        <x:f>M25-M26</x:f>
        <x:v>226425.91187209924</x:v>
      </x:c>
      <x:c r="N27" s="3"/>
      <x:c r="O27" s="3"/>
      <x:c r="P27" s="3"/>
      <x:c r="Q27" s="3"/>
    </x:row>
    <x:row r="28" ht="20" customHeight="1">
      <x:c r="C28" s="20" t="str">
        <x:v>Enterprise value</x:v>
      </x:c>
      <x:c r="D28" s="50" t="n">
        <x:f>SUM(D26:D27)</x:f>
        <x:v>2648936.4437955683</x:v>
      </x:c>
      <x:c r="E28" s="42"/>
      <x:c r="F28" s="42"/>
      <x:c r="G28" s="42"/>
      <x:c r="H28" s="42" t="str">
        <x:v>Undiscounted terminal enterprise value</x:v>
      </x:c>
      <x:c r="I28" s="13"/>
      <x:c r="J28" s="13"/>
      <x:c r="K28" s="13"/>
      <x:c r="L28" s="13"/>
      <x:c r="M28" s="5" t="n">
        <x:f>IF($D$17&gt;$D$18,M27/($D$17-$D$18),NA())</x:f>
        <x:v>3455753.392230293</x:v>
      </x:c>
      <x:c r="N28" s="3"/>
      <x:c r="O28" s="3"/>
      <x:c r="P28" s="3"/>
      <x:c r="Q28" s="3"/>
    </x:row>
    <x:row r="29" ht="20" customHeight="1">
      <x:c r="C29" s="3" t="str">
        <x:v>Estimated cash and short-term investments</x:v>
      </x:c>
      <x:c r="D29" s="42" t="n">
        <x:f>SUM('Statements'!H25:H26)+D23*('Statements'!I25-'Statements'!H25)</x:f>
        <x:v>74196.8786467338</x:v>
      </x:c>
      <x:c r="E29" s="42"/>
      <x:c r="F29" s="42"/>
      <x:c r="G29" s="42"/>
      <x:c r="H29" s="50" t="str">
        <x:v>Present value of terminal value</x:v>
      </x:c>
      <x:c r="I29" s="22"/>
      <x:c r="J29" s="22"/>
      <x:c r="K29" s="22"/>
      <x:c r="L29" s="22"/>
      <x:c r="M29" s="70" t="n">
        <x:f>M28*M18</x:f>
        <x:v>2255618.483176897</x:v>
      </x:c>
      <x:c r="N29" s="3"/>
      <x:c r="O29" s="36" t="str">
        <x:v>Estimated valuation-date bridge, not newly reported balances. Investment and debt book values are proxies for market value.</x:v>
      </x:c>
      <x:c r="P29" s="3"/>
      <x:c r="Q29" s="3"/>
    </x:row>
    <x:row r="30" ht="20" customHeight="1">
      <x:c r="C30" s="3" t="str">
        <x:v>Estimated corporate debt</x:v>
      </x:c>
      <x:c r="D30" s="42" t="n">
        <x:f>SUM('Statements'!H45,'Statements'!H47)+D23*('Funding'!I10-SUM('Statements'!H45,'Statements'!H47))</x:f>
        <x:v>40294</x:v>
      </x:c>
      <x:c r="E30" s="42"/>
      <x:c r="F30" s="42"/>
      <x:c r="G30" s="42"/>
      <x:c r="H30" s="42"/>
      <x:c r="I30" s="13"/>
      <x:c r="J30" s="13"/>
      <x:c r="K30" s="13"/>
      <x:c r="L30" s="13"/>
      <x:c r="M30" s="13"/>
      <x:c r="N30" s="3"/>
      <x:c r="O30" s="3"/>
      <x:c r="P30" s="3"/>
      <x:c r="Q30" s="3"/>
    </x:row>
    <x:row r="31" ht="20" customHeight="1">
      <x:c r="C31" s="3" t="str">
        <x:v>Estimated finance lease liabilities</x:v>
      </x:c>
      <x:c r="D31" s="42" t="n">
        <x:f>SUM('Statements'!H44,'Statements'!H53)+D23*('Capital'!I39-SUM('Statements'!H44,'Statements'!H53))</x:f>
        <x:v>70228.2116227608</x:v>
      </x:c>
      <x:c r="E31" s="42"/>
      <x:c r="F31" s="42"/>
      <x:c r="G31" s="42"/>
      <x:c r="H31" s="42"/>
      <x:c r="I31" s="13"/>
      <x:c r="J31" s="13"/>
      <x:c r="K31" s="13"/>
      <x:c r="L31" s="13"/>
      <x:c r="M31" s="13"/>
      <x:c r="N31" s="3"/>
      <x:c r="O31" s="36" t="str">
        <x:v>Finance leases deducted as debt. Operating rent remains in operating income and operating leases are not deducted again.</x:v>
      </x:c>
      <x:c r="P31" s="3"/>
      <x:c r="Q31" s="3"/>
    </x:row>
    <x:row r="32" ht="20" customHeight="1">
      <x:c r="C32" s="3" t="str">
        <x:v>Required operating cash reserve</x:v>
      </x:c>
      <x:c r="D32" s="42" t="n">
        <x:f>'Statements'!I7*D41</x:f>
        <x:v>3995.0787</x:v>
      </x:c>
      <x:c r="E32" s="42"/>
      <x:c r="F32" s="42"/>
      <x:c r="G32" s="42"/>
      <x:c r="H32" s="42"/>
      <x:c r="I32" s="13"/>
      <x:c r="J32" s="13"/>
      <x:c r="K32" s="13"/>
      <x:c r="L32" s="13"/>
      <x:c r="M32" s="13"/>
      <x:c r="N32" s="3"/>
      <x:c r="O32" s="3"/>
      <x:c r="P32" s="3"/>
      <x:c r="Q32" s="3"/>
    </x:row>
    <x:row r="33" ht="20" customHeight="1">
      <x:c r="C33" s="3" t="str">
        <x:v>Nonoperating investments recognized</x:v>
      </x:c>
      <x:c r="D33" s="42" t="n">
        <x:f>'Statements'!H33*D40</x:f>
        <x:v>36348</x:v>
      </x:c>
      <x:c r="E33" s="42"/>
      <x:c r="F33" s="42"/>
      <x:c r="G33" s="42"/>
      <x:c r="H33" s="42"/>
      <x:c r="I33" s="13"/>
      <x:c r="J33" s="13"/>
      <x:c r="K33" s="13"/>
      <x:c r="L33" s="13"/>
      <x:c r="M33" s="13"/>
      <x:c r="N33" s="3"/>
      <x:c r="O33" s="36" t="str">
        <x:v>Nonoperating investments included at carrying value × the editable recognition factor in D40. No future gains forecast.</x:v>
      </x:c>
      <x:c r="P33" s="3"/>
      <x:c r="Q33" s="3"/>
    </x:row>
    <x:row r="34" ht="20" customHeight="1">
      <x:c r="C34" s="20" t="str">
        <x:v>Equity value</x:v>
      </x:c>
      <x:c r="D34" s="50" t="n">
        <x:f>D28+D29-SUM(D30:D32)+D33</x:f>
        <x:v>2644964.0321195414</x:v>
      </x:c>
      <x:c r="E34" s="42"/>
      <x:c r="F34" s="42"/>
      <x:c r="G34" s="42"/>
      <x:c r="H34" s="42"/>
      <x:c r="I34" s="13"/>
      <x:c r="J34" s="13"/>
      <x:c r="K34" s="13"/>
      <x:c r="L34" s="13"/>
      <x:c r="M34" s="13"/>
      <x:c r="N34" s="3"/>
      <x:c r="O34" s="3"/>
      <x:c r="P34" s="3"/>
      <x:c r="Q34" s="3"/>
    </x:row>
    <x:row r="35" ht="20" customHeight="1">
      <x:c r="C35" s="3" t="str">
        <x:v>Estimated diluted valuation shares</x:v>
      </x:c>
      <x:c r="D35" s="42" t="n">
        <x:f>'Actuals'!H115+D23*('Funding'!I27-'Actuals'!H115)+'Actuals'!H116</x:f>
        <x:v>7448.089690903247</x:v>
      </x:c>
      <x:c r="E35" s="42"/>
      <x:c r="F35" s="42"/>
      <x:c r="G35" s="42"/>
      <x:c r="H35" s="42"/>
      <x:c r="I35" s="13"/>
      <x:c r="J35" s="13"/>
      <x:c r="K35" s="13"/>
      <x:c r="L35" s="13"/>
      <x:c r="M35" s="13"/>
      <x:c r="N35" s="3"/>
      <x:c r="O35" s="36" t="str">
        <x:v>Forecast basic shares rolled to valuation date plus 24m incremental diluted shares. Not an award-level valuation.</x:v>
      </x:c>
      <x:c r="P35" s="3"/>
      <x:c r="Q35" s="3"/>
    </x:row>
    <x:row r="36" ht="20" customHeight="1">
      <x:c r="C36" s="20" t="str">
        <x:v>DCF value per share</x:v>
      </x:c>
      <x:c r="D36" s="52" t="n">
        <x:f>D34/D35</x:f>
        <x:v>355.1197880108746</x:v>
      </x:c>
      <x:c r="E36" s="42"/>
      <x:c r="F36" s="42"/>
      <x:c r="G36" s="42"/>
      <x:c r="H36" s="42"/>
      <x:c r="I36" s="13"/>
      <x:c r="J36" s="13"/>
      <x:c r="K36" s="13"/>
      <x:c r="L36" s="13"/>
      <x:c r="M36" s="13"/>
      <x:c r="N36" s="3"/>
      <x:c r="O36" s="3"/>
      <x:c r="P36" s="3"/>
      <x:c r="Q36" s="3"/>
    </x:row>
    <x:row r="37" ht="20" customHeight="1">
      <x:c r="C37" s="3" t="str">
        <x:v>Observed share price</x:v>
      </x:c>
      <x:c r="D37" s="46" t="n">
        <x:f>'Actuals'!H110</x:f>
        <x:v>530.17</x:v>
      </x:c>
      <x:c r="E37" s="42"/>
      <x:c r="F37" s="42"/>
      <x:c r="G37" s="42"/>
      <x:c r="H37" s="42"/>
      <x:c r="I37" s="13"/>
      <x:c r="J37" s="13"/>
      <x:c r="K37" s="13"/>
      <x:c r="L37" s="13"/>
      <x:c r="M37" s="13"/>
      <x:c r="N37" s="3"/>
      <x:c r="O37" s="3"/>
      <x:c r="P37" s="3"/>
      <x:c r="Q37" s="3"/>
    </x:row>
    <x:row r="38" ht="20" customHeight="1">
      <x:c r="C38" s="3" t="str">
        <x:v>Implied upside / (downside)</x:v>
      </x:c>
      <x:c r="D38" s="45" t="n">
        <x:f>D36/D37-1</x:f>
        <x:v>-0.3301775128527178</x:v>
      </x:c>
      <x:c r="E38" s="42"/>
      <x:c r="F38" s="42"/>
      <x:c r="G38" s="42"/>
      <x:c r="H38" s="42"/>
      <x:c r="I38" s="13"/>
      <x:c r="J38" s="13"/>
      <x:c r="K38" s="13"/>
      <x:c r="L38" s="13"/>
      <x:c r="M38" s="13"/>
      <x:c r="N38" s="3"/>
      <x:c r="O38" s="36" t="str">
        <x:v>Difference from the observed price under these assumptions, not a prediction of the trading price.</x:v>
      </x:c>
      <x:c r="P38" s="3"/>
      <x:c r="Q38" s="3"/>
    </x:row>
    <x:row r="39" ht="20" customHeight="1">
      <x:c r="C39" s="3" t="str">
        <x:v>Terminal value / enterprise value</x:v>
      </x:c>
      <x:c r="D39" s="45" t="n">
        <x:f>D27/D28</x:f>
        <x:v>0.8515185362261467</x:v>
      </x:c>
      <x:c r="E39" s="42"/>
      <x:c r="F39" s="42"/>
      <x:c r="G39" s="42"/>
      <x:c r="H39" s="42"/>
      <x:c r="I39" s="13"/>
      <x:c r="J39" s="13"/>
      <x:c r="K39" s="13"/>
      <x:c r="L39" s="13"/>
      <x:c r="M39" s="13"/>
      <x:c r="N39" s="3"/>
      <x:c r="O39" s="3"/>
      <x:c r="P39" s="3"/>
      <x:c r="Q39" s="3"/>
    </x:row>
    <x:row r="40" ht="20" customHeight="1">
      <x:c r="C40" s="3" t="str">
        <x:v>Nonoperating investments / carrying value</x:v>
      </x:c>
      <x:c r="D40" s="39" t="n">
        <x:v>1</x:v>
      </x:c>
      <x:c r="E40" s="42"/>
      <x:c r="F40" s="42"/>
      <x:c r="G40" s="42"/>
      <x:c r="H40" s="42"/>
      <x:c r="I40" s="13"/>
      <x:c r="J40" s="13"/>
      <x:c r="K40" s="13"/>
      <x:c r="L40" s="13"/>
      <x:c r="M40" s="13"/>
      <x:c r="N40" s="3"/>
      <x:c r="O40" s="36" t="str">
        <x:v>Use a lower factor to test private-investment valuation uncertainty. Avoid counting investment gains in operating FCF.</x:v>
      </x:c>
      <x:c r="P40" s="3"/>
      <x:c r="Q40" s="3"/>
    </x:row>
    <x:row r="41" ht="20" customHeight="1">
      <x:c r="C41" s="3" t="str">
        <x:v>Operating cash reserve / FY2027 revenue</x:v>
      </x:c>
      <x:c r="D41" s="39" t="n">
        <x:v>0.01</x:v>
      </x:c>
      <x:c r="E41" s="42"/>
      <x:c r="F41" s="42"/>
      <x:c r="G41" s="42"/>
      <x:c r="H41" s="42"/>
      <x:c r="I41" s="13"/>
      <x:c r="J41" s="13"/>
      <x:c r="K41" s="13"/>
      <x:c r="L41" s="13"/>
      <x:c r="M41" s="13"/>
      <x:c r="N41" s="3"/>
      <x:c r="O41" s="3"/>
      <x:c r="P41" s="3"/>
      <x:c r="Q41" s="3"/>
    </x:row>
    <x:row r="42" ht="20" customHeight="1">
      <x:c r="C42" s="3"/>
      <x:c r="D42" s="42"/>
      <x:c r="E42" s="42"/>
      <x:c r="F42" s="42"/>
      <x:c r="G42" s="42"/>
      <x:c r="H42" s="42"/>
      <x:c r="I42" s="13"/>
      <x:c r="J42" s="13"/>
      <x:c r="K42" s="13"/>
      <x:c r="L42" s="13"/>
      <x:c r="M42" s="13"/>
      <x:c r="N42" s="3"/>
      <x:c r="O42" s="3"/>
      <x:c r="P42" s="3"/>
      <x:c r="Q42" s="3"/>
    </x:row>
    <x:row r="43" ht="20" customHeight="1">
      <x:c r="C43" s="3" t="str">
        <x:v>Value per share sensitivity</x:v>
      </x:c>
      <x:c r="D43" s="42"/>
      <x:c r="E43" s="42"/>
      <x:c r="F43" s="42"/>
      <x:c r="G43" s="42"/>
      <x:c r="H43" s="42"/>
      <x:c r="I43" s="13"/>
      <x:c r="J43" s="13"/>
      <x:c r="K43" s="13"/>
      <x:c r="L43" s="13"/>
      <x:c r="M43" s="13"/>
      <x:c r="N43" s="3"/>
      <x:c r="O43" s="36" t="str">
        <x:v>Native Excel two-variable What-If Data Table. Automatic calculation must include data tables.</x:v>
      </x:c>
      <x:c r="P43" s="3"/>
      <x:c r="Q43" s="3"/>
    </x:row>
    <x:row r="44" ht="20" customHeight="1">
      <x:c r="C44" s="3" t="str">
        <x:v>Rows: WACC. Columns: terminal growth.</x:v>
      </x:c>
      <x:c r="D44" s="42"/>
      <x:c r="E44" s="42"/>
      <x:c r="F44" s="42"/>
      <x:c r="G44" s="42"/>
      <x:c r="H44" s="42"/>
      <x:c r="I44" s="13"/>
      <x:c r="J44" s="13"/>
      <x:c r="K44" s="13"/>
      <x:c r="L44" s="13"/>
      <x:c r="M44" s="13"/>
      <x:c r="N44" s="3"/>
      <x:c r="O44" s="3"/>
      <x:c r="P44" s="3"/>
      <x:c r="Q44" s="3"/>
    </x:row>
    <x:row r="45" ht="20" customHeight="1">
      <x:c r="C45" s="3"/>
      <x:c r="D45" s="42"/>
      <x:c r="E45" s="42"/>
      <x:c r="F45" s="92" t="n">
        <x:f>$D$36</x:f>
        <x:v>355.1197880108746</x:v>
      </x:c>
      <x:c r="G45" s="93" t="n">
        <x:f>$D$18+-0.01</x:f>
        <x:v>0.019999999999999997</x:v>
      </x:c>
      <x:c r="H45" s="93" t="n">
        <x:f>$D$18+-0.005</x:f>
        <x:v>0.024999999999999998</x:v>
      </x:c>
      <x:c r="I45" s="93" t="n">
        <x:f>$D$18+0</x:f>
        <x:v>0.03</x:v>
      </x:c>
      <x:c r="J45" s="93" t="n">
        <x:f>$D$18+0.005</x:f>
        <x:v>0.034999999999999996</x:v>
      </x:c>
      <x:c r="K45" s="93" t="n">
        <x:f>$D$18+0.01</x:f>
        <x:v>0.04</x:v>
      </x:c>
      <x:c r="L45" s="13"/>
      <x:c r="M45" s="13"/>
      <x:c r="N45" s="3"/>
      <x:c r="O45" s="3"/>
      <x:c r="P45" s="3"/>
      <x:c r="Q45" s="3"/>
    </x:row>
    <x:row r="46" ht="20" customHeight="1">
      <x:c r="C46" s="3"/>
      <x:c r="D46" s="42"/>
      <x:c r="E46" s="42"/>
      <x:c r="F46" s="101" t="n">
        <x:f>$D$17+-0.01</x:f>
        <x:v>0.08552143228193933</x:v>
      </x:c>
      <x:c r="G46" s="46" t="n">
        <x:f t="dataTable" ref="G46:K50" dt2D="1" r1="D18" r2="D17"/>
        <x:v>385.4592418756436</x:v>
      </x:c>
      <x:c r="H46" s="46" t="n">
        <x:v>404.5851896802824</x:v>
      </x:c>
      <x:c r="I46" s="62" t="n">
        <x:v>427.049399229087</x:v>
      </x:c>
      <x:c r="J46" s="62" t="n">
        <x:v>453.8430127739836</x:v>
      </x:c>
      <x:c r="K46" s="62" t="n">
        <x:v>486.3926343712588</x:v>
      </x:c>
      <x:c r="L46" s="13"/>
      <x:c r="M46" s="13"/>
      <x:c r="N46" s="3"/>
      <x:c r="O46" s="3"/>
      <x:c r="P46" s="3"/>
      <x:c r="Q46" s="3"/>
    </x:row>
    <x:row r="47" ht="20" customHeight="1">
      <x:c r="C47" s="3"/>
      <x:c r="D47" s="42"/>
      <x:c r="E47" s="42"/>
      <x:c r="F47" s="101" t="n">
        <x:f>$D$17+-0.005</x:f>
        <x:v>0.09052143228193932</x:v>
      </x:c>
      <x:c r="G47" s="46" t="n">
        <x:v>354.5390171430086</x:v>
      </x:c>
      <x:c r="H47" s="46" t="n">
        <x:v>370.0746242394921</x:v>
      </x:c>
      <x:c r="I47" s="62" t="n">
        <x:v>388.0815444506222</x:v>
      </x:c>
      <x:c r="J47" s="62" t="n">
        <x:v>409.2274424096064</x:v>
      </x:c>
      <x:c r="K47" s="62" t="n">
        <x:v>434.4442922132016</x:v>
      </x:c>
      <x:c r="L47" s="13"/>
      <x:c r="M47" s="13"/>
      <x:c r="N47" s="3"/>
      <x:c r="O47" s="3"/>
      <x:c r="P47" s="3"/>
      <x:c r="Q47" s="3"/>
    </x:row>
    <x:row r="48" ht="20" customHeight="1">
      <x:c r="C48" s="3"/>
      <x:c r="D48" s="42"/>
      <x:c r="E48" s="42"/>
      <x:c r="F48" s="101" t="n">
        <x:f>$D$17+0</x:f>
        <x:v>0.09552143228193932</x:v>
      </x:c>
      <x:c r="G48" s="46" t="n">
        <x:v>327.7738151015626</x:v>
      </x:c>
      <x:c r="H48" s="46" t="n">
        <x:v>340.5175541533496</x:v>
      </x:c>
      <x:c r="I48" s="94" t="n">
        <x:v>355.1197880108746</x:v>
      </x:c>
      <x:c r="J48" s="62" t="n">
        <x:v>372.041137334207</x:v>
      </x:c>
      <x:c r="K48" s="62" t="n">
        <x:v>391.9081481355331</x:v>
      </x:c>
      <x:c r="L48" s="13"/>
      <x:c r="M48" s="13"/>
      <x:c r="N48" s="3"/>
      <x:c r="O48" s="3"/>
      <x:c r="P48" s="3"/>
      <x:c r="Q48" s="3"/>
    </x:row>
    <x:row r="49" ht="20" customHeight="1">
      <x:c r="C49" s="3"/>
      <x:c r="D49" s="42"/>
      <x:c r="E49" s="42"/>
      <x:c r="F49" s="101" t="n">
        <x:f>$D$17+0.005</x:f>
        <x:v>0.10052143228193933</x:v>
      </x:c>
      <x:c r="G49" s="46" t="n">
        <x:v>304.3882403385013</x:v>
      </x:c>
      <x:c r="H49" s="46" t="n">
        <x:v>314.9287993551675</x:v>
      </x:c>
      <x:c r="I49" s="62" t="n">
        <x:v>326.8853650736251</x:v>
      </x:c>
      <x:c r="J49" s="62" t="n">
        <x:v>340.5821077659076</x:v>
      </x:c>
      <x:c r="K49" s="62" t="n">
        <x:v>356.4503234807564</x:v>
      </x:c>
      <x:c r="L49" s="13"/>
      <x:c r="M49" s="13"/>
      <x:c r="N49" s="3"/>
      <x:c r="O49" s="3"/>
      <x:c r="P49" s="3"/>
      <x:c r="Q49" s="3"/>
    </x:row>
    <x:row r="50" ht="20" customHeight="1">
      <x:c r="C50" s="3"/>
      <x:c r="D50" s="42"/>
      <x:c r="E50" s="42"/>
      <x:c r="F50" s="101" t="n">
        <x:f>$D$17+0.01</x:f>
        <x:v>0.10552143228193932</x:v>
      </x:c>
      <x:c r="G50" s="46" t="n">
        <x:v>283.7882690000376</x:v>
      </x:c>
      <x:c r="H50" s="46" t="n">
        <x:v>292.5679156360613</x:v>
      </x:c>
      <x:c r="I50" s="62" t="n">
        <x:v>302.4381935618981</x:v>
      </x:c>
      <x:c r="J50" s="62" t="n">
        <x:v>313.6310814656971</x:v>
      </x:c>
      <x:c r="K50" s="62" t="n">
        <x:v>326.4493680530543</x:v>
      </x:c>
      <x:c r="L50" s="13"/>
      <x:c r="M50" s="13"/>
      <x:c r="N50" s="3"/>
      <x:c r="O50" s="3"/>
      <x:c r="P50" s="3"/>
      <x:c r="Q50" s="3"/>
    </x:row>
    <x:row r="51" ht="20" customHeight="1">
      <x:c r="C51" s="3"/>
      <x:c r="D51" s="42"/>
      <x:c r="E51" s="42"/>
      <x:c r="F51" s="42"/>
      <x:c r="G51" s="42"/>
      <x:c r="H51" s="42"/>
      <x:c r="I51" s="13"/>
      <x:c r="J51" s="13"/>
      <x:c r="K51" s="13"/>
      <x:c r="L51" s="13"/>
      <x:c r="M51" s="13"/>
      <x:c r="N51" s="3"/>
      <x:c r="O51" s="3"/>
      <x:c r="P51" s="3"/>
      <x:c r="Q51" s="3"/>
    </x:row>
    <x:row r="52" ht="20" customHeight="1">
      <x:c r="C52" s="3"/>
      <x:c r="D52" s="42"/>
      <x:c r="E52" s="42"/>
      <x:c r="F52" s="42"/>
      <x:c r="G52" s="42"/>
      <x:c r="H52" s="42"/>
      <x:c r="I52" s="13"/>
      <x:c r="J52" s="13"/>
      <x:c r="K52" s="13"/>
      <x:c r="L52" s="13"/>
      <x:c r="M52" s="13"/>
      <x:c r="N52" s="3"/>
      <x:c r="O52" s="3"/>
      <x:c r="P52" s="3"/>
      <x:c r="Q52" s="3"/>
    </x:row>
    <x:row r="53" ht="20" customHeight="1">
      <x:c r="C53" s="3"/>
      <x:c r="D53" s="42"/>
      <x:c r="E53" s="42"/>
      <x:c r="F53" s="42"/>
      <x:c r="G53" s="42"/>
      <x:c r="H53" s="42"/>
      <x:c r="I53" s="13"/>
      <x:c r="J53" s="13"/>
      <x:c r="K53" s="13"/>
      <x:c r="L53" s="13"/>
      <x:c r="M53" s="13"/>
      <x:c r="N53" s="3"/>
      <x:c r="O53" s="3"/>
      <x:c r="P53" s="3"/>
      <x:c r="Q53" s="3"/>
    </x:row>
    <x:row r="54" ht="20" customHeight="1">
      <x:c r="C54" s="3"/>
      <x:c r="D54" s="42"/>
      <x:c r="E54" s="42"/>
      <x:c r="F54" s="42"/>
      <x:c r="G54" s="42"/>
      <x:c r="H54" s="42"/>
      <x:c r="I54" s="13"/>
      <x:c r="J54" s="13"/>
      <x:c r="K54" s="13"/>
      <x:c r="L54" s="13"/>
      <x:c r="M54" s="13"/>
      <x:c r="N54" s="3"/>
      <x:c r="O54" s="36" t="str">
        <x:v>Stock compensation remains an operating expense in unlevered FCF. Future dilution affects EPS, but no SBC addback inflates DCF.</x:v>
      </x:c>
      <x:c r="P54" s="3"/>
      <x:c r="Q54" s="3"/>
    </x:row>
    <x:row r="55" ht="20" customHeight="1">
      <x:c r="C55" s="3"/>
      <x:c r="D55" s="42"/>
      <x:c r="E55" s="42"/>
      <x:c r="F55" s="42"/>
      <x:c r="G55" s="42"/>
      <x:c r="H55" s="42"/>
      <x:c r="I55" s="13"/>
      <x:c r="J55" s="13"/>
      <x:c r="K55" s="13"/>
      <x:c r="L55" s="13"/>
      <x:c r="M55" s="13"/>
      <x:c r="N55" s="3"/>
      <x:c r="O55" s="3"/>
      <x:c r="P55" s="3"/>
      <x:c r="Q55" s="3"/>
    </x:row>
    <x:row r="56" ht="20" customHeight="1">
      <x:c r="C56" s="3"/>
      <x:c r="D56" s="42"/>
      <x:c r="E56" s="42"/>
      <x:c r="F56" s="42"/>
      <x:c r="G56" s="42"/>
      <x:c r="H56" s="42"/>
      <x:c r="I56" s="13"/>
      <x:c r="J56" s="13"/>
      <x:c r="K56" s="13"/>
      <x:c r="L56" s="13"/>
      <x:c r="M56" s="13"/>
      <x:c r="N56" s="3"/>
      <x:c r="O56" s="3"/>
      <x:c r="P56" s="3"/>
      <x:c r="Q56" s="3"/>
    </x:row>
    <x:row r="57" ht="20" customHeight="1">
      <x:c r="C57" s="3"/>
      <x:c r="D57" s="42"/>
      <x:c r="E57" s="42"/>
      <x:c r="F57" s="42"/>
      <x:c r="G57" s="42"/>
      <x:c r="H57" s="42"/>
      <x:c r="I57" s="13"/>
      <x:c r="J57" s="13"/>
      <x:c r="K57" s="13"/>
      <x:c r="L57" s="13"/>
      <x:c r="M57" s="13"/>
      <x:c r="N57" s="3"/>
      <x:c r="O57" s="3"/>
      <x:c r="P57" s="3"/>
      <x:c r="Q57" s="3"/>
    </x:row>
    <x:row r="58" ht="20" customHeight="1">
      <x:c r="C58" s="3"/>
      <x:c r="D58" s="42"/>
      <x:c r="E58" s="42"/>
      <x:c r="F58" s="42"/>
      <x:c r="G58" s="42"/>
      <x:c r="H58" s="42"/>
      <x:c r="I58" s="13"/>
      <x:c r="J58" s="13"/>
      <x:c r="K58" s="13"/>
      <x:c r="L58" s="13"/>
      <x:c r="M58" s="13"/>
      <x:c r="N58" s="3"/>
      <x:c r="O58" s="3"/>
      <x:c r="P58" s="3"/>
      <x:c r="Q58" s="3"/>
    </x:row>
    <x:row r="59" ht="20" customHeight="1">
      <x:c r="C59" s="3"/>
      <x:c r="D59" s="42"/>
      <x:c r="E59" s="42"/>
      <x:c r="F59" s="42"/>
      <x:c r="G59" s="42"/>
      <x:c r="H59" s="42"/>
      <x:c r="I59" s="13"/>
      <x:c r="J59" s="13"/>
      <x:c r="K59" s="13"/>
      <x:c r="L59" s="13"/>
      <x:c r="M59" s="13"/>
      <x:c r="N59" s="3"/>
      <x:c r="O59" s="3"/>
      <x:c r="P59" s="3"/>
      <x:c r="Q59" s="3"/>
    </x:row>
    <x:row r="60" ht="20" customHeight="1">
      <x:c r="C60" s="3"/>
      <x:c r="D60" s="42"/>
      <x:c r="E60" s="42"/>
      <x:c r="F60" s="42"/>
      <x:c r="G60" s="42"/>
      <x:c r="H60" s="42"/>
      <x:c r="I60" s="13"/>
      <x:c r="J60" s="13"/>
      <x:c r="K60" s="13"/>
      <x:c r="L60" s="13"/>
      <x:c r="M60" s="13"/>
      <x:c r="N60" s="3"/>
      <x:c r="O60" s="3"/>
      <x:c r="P60" s="3"/>
      <x:c r="Q60" s="3"/>
    </x:row>
    <x:row r="61" ht="20" customHeight="1">
      <x:c r="C61" s="3"/>
      <x:c r="D61" s="42"/>
      <x:c r="E61" s="42"/>
      <x:c r="F61" s="42"/>
      <x:c r="G61" s="42"/>
      <x:c r="H61" s="42"/>
      <x:c r="I61" s="13"/>
      <x:c r="J61" s="13"/>
      <x:c r="K61" s="13"/>
      <x:c r="L61" s="13"/>
      <x:c r="M61" s="13"/>
      <x:c r="N61" s="3"/>
      <x:c r="O61" s="3"/>
      <x:c r="P61" s="3"/>
      <x:c r="Q61" s="3"/>
    </x:row>
    <x:row r="62" ht="20" customHeight="1">
      <x:c r="C62" s="3"/>
      <x:c r="D62" s="42"/>
      <x:c r="E62" s="42"/>
      <x:c r="F62" s="42"/>
      <x:c r="G62" s="42"/>
      <x:c r="H62" s="42"/>
      <x:c r="I62" s="13"/>
      <x:c r="J62" s="13"/>
      <x:c r="K62" s="13"/>
      <x:c r="L62" s="13"/>
      <x:c r="M62" s="13"/>
      <x:c r="N62" s="3"/>
      <x:c r="O62" s="3"/>
      <x:c r="P62" s="3"/>
      <x:c r="Q62" s="3"/>
    </x:row>
    <x:row r="63" ht="20" customHeight="1">
      <x:c r="C63" s="3"/>
      <x:c r="D63" s="42"/>
      <x:c r="E63" s="42"/>
      <x:c r="F63" s="42"/>
      <x:c r="G63" s="42"/>
      <x:c r="H63" s="42"/>
      <x:c r="I63" s="13"/>
      <x:c r="J63" s="13"/>
      <x:c r="K63" s="13"/>
      <x:c r="L63" s="13"/>
      <x:c r="M63" s="13"/>
      <x:c r="N63" s="3"/>
      <x:c r="O63" s="3"/>
      <x:c r="P63" s="3"/>
      <x:c r="Q63" s="3"/>
    </x:row>
    <x:row r="64" ht="20" customHeight="1">
      <x:c r="C64" s="3"/>
      <x:c r="D64" s="42"/>
      <x:c r="E64" s="42"/>
      <x:c r="F64" s="42"/>
      <x:c r="G64" s="42"/>
      <x:c r="H64" s="42"/>
      <x:c r="I64" s="13"/>
      <x:c r="J64" s="13"/>
      <x:c r="K64" s="13"/>
      <x:c r="L64" s="13"/>
      <x:c r="M64" s="13"/>
      <x:c r="N64" s="3"/>
      <x:c r="O64" s="3"/>
      <x:c r="P64" s="3"/>
      <x:c r="Q64" s="3"/>
    </x:row>
    <x:row r="65" ht="20" customHeight="1">
      <x:c r="C65" s="3"/>
      <x:c r="D65" s="42"/>
      <x:c r="E65" s="42"/>
      <x:c r="F65" s="42"/>
      <x:c r="G65" s="42"/>
      <x:c r="H65" s="42"/>
      <x:c r="I65" s="13"/>
      <x:c r="J65" s="13"/>
      <x:c r="K65" s="13"/>
      <x:c r="L65" s="13"/>
      <x:c r="M65" s="13"/>
      <x:c r="N65" s="3"/>
      <x:c r="O65" s="3"/>
      <x:c r="P65" s="3"/>
      <x:c r="Q65" s="3"/>
    </x:row>
    <x:row r="66" ht="20" customHeight="1">
      <x:c r="C66" s="3"/>
      <x:c r="D66" s="42"/>
      <x:c r="E66" s="42"/>
      <x:c r="F66" s="42"/>
      <x:c r="G66" s="42"/>
      <x:c r="H66" s="42"/>
      <x:c r="I66" s="13"/>
      <x:c r="J66" s="13"/>
      <x:c r="K66" s="13"/>
      <x:c r="L66" s="13"/>
      <x:c r="M66" s="13"/>
      <x:c r="N66" s="3"/>
      <x:c r="O66" s="3"/>
      <x:c r="P66" s="3"/>
      <x:c r="Q66" s="3"/>
    </x:row>
    <x:row r="67" ht="20" customHeight="1">
      <x:c r="C67" s="3"/>
      <x:c r="D67" s="42"/>
      <x:c r="E67" s="42"/>
      <x:c r="F67" s="42"/>
      <x:c r="G67" s="42"/>
      <x:c r="H67" s="42"/>
      <x:c r="I67" s="13"/>
      <x:c r="J67" s="13"/>
      <x:c r="K67" s="13"/>
      <x:c r="L67" s="13"/>
      <x:c r="M67" s="13"/>
      <x:c r="N67" s="3"/>
      <x:c r="O67" s="3"/>
      <x:c r="P67" s="3"/>
      <x:c r="Q67" s="3"/>
    </x:row>
    <x:row r="68" ht="20" customHeight="1">
      <x:c r="C68" s="3"/>
      <x:c r="D68" s="42"/>
      <x:c r="E68" s="42"/>
      <x:c r="F68" s="42"/>
      <x:c r="G68" s="42"/>
      <x:c r="H68" s="42"/>
      <x:c r="I68" s="13"/>
      <x:c r="J68" s="13"/>
      <x:c r="K68" s="13"/>
      <x:c r="L68" s="13"/>
      <x:c r="M68" s="13"/>
      <x:c r="N68" s="3"/>
      <x:c r="O68" s="3"/>
      <x:c r="P68" s="3"/>
      <x:c r="Q68" s="3"/>
    </x:row>
    <x:row r="69" ht="20" customHeight="1">
      <x:c r="C69" s="3"/>
      <x:c r="D69" s="42"/>
      <x:c r="E69" s="42"/>
      <x:c r="F69" s="42"/>
      <x:c r="G69" s="42"/>
      <x:c r="H69" s="42"/>
      <x:c r="I69" s="13"/>
      <x:c r="J69" s="13"/>
      <x:c r="K69" s="13"/>
      <x:c r="L69" s="13"/>
      <x:c r="M69" s="13"/>
      <x:c r="N69" s="3"/>
      <x:c r="O69" s="3"/>
      <x:c r="P69" s="3"/>
      <x:c r="Q69" s="3"/>
    </x:row>
    <x:row r="70" ht="20" customHeight="1">
      <x:c r="C70" s="3"/>
      <x:c r="D70" s="42"/>
      <x:c r="E70" s="42"/>
      <x:c r="F70" s="42"/>
      <x:c r="G70" s="42"/>
      <x:c r="H70" s="42"/>
      <x:c r="I70" s="13"/>
      <x:c r="J70" s="13"/>
      <x:c r="K70" s="13"/>
      <x:c r="L70" s="13"/>
      <x:c r="M70" s="13"/>
      <x:c r="N70" s="3"/>
      <x:c r="O70" s="3"/>
      <x:c r="P70" s="3"/>
      <x:c r="Q70" s="3"/>
    </x:row>
    <x:row r="71" ht="20" customHeight="1">
      <x:c r="C71" s="3"/>
      <x:c r="D71" s="42"/>
      <x:c r="E71" s="42"/>
      <x:c r="F71" s="42"/>
      <x:c r="G71" s="42"/>
      <x:c r="H71" s="42"/>
      <x:c r="I71" s="13"/>
      <x:c r="J71" s="13"/>
      <x:c r="K71" s="13"/>
      <x:c r="L71" s="13"/>
      <x:c r="M71" s="13"/>
      <x:c r="N71" s="3"/>
      <x:c r="O71" s="3"/>
      <x:c r="P71" s="3"/>
      <x:c r="Q71" s="3"/>
    </x:row>
    <x:row r="72" ht="20" customHeight="1">
      <x:c r="C72" s="3"/>
      <x:c r="D72" s="42"/>
      <x:c r="E72" s="42"/>
      <x:c r="F72" s="42"/>
      <x:c r="G72" s="42"/>
      <x:c r="H72" s="42"/>
      <x:c r="I72" s="13"/>
      <x:c r="J72" s="13"/>
      <x:c r="K72" s="13"/>
      <x:c r="L72" s="13"/>
      <x:c r="M72" s="13"/>
      <x:c r="N72" s="3"/>
      <x:c r="O72" s="3"/>
      <x:c r="P72" s="3"/>
      <x:c r="Q72" s="3"/>
    </x:row>
    <x:row r="73" ht="20" customHeight="1">
      <x:c r="C73" s="3"/>
      <x:c r="D73" s="42"/>
      <x:c r="E73" s="42"/>
      <x:c r="F73" s="42"/>
      <x:c r="G73" s="42"/>
      <x:c r="H73" s="42"/>
      <x:c r="I73" s="13"/>
      <x:c r="J73" s="13"/>
      <x:c r="K73" s="13"/>
      <x:c r="L73" s="13"/>
      <x:c r="M73" s="13"/>
      <x:c r="N73" s="3"/>
      <x:c r="O73" s="3"/>
      <x:c r="P73" s="3"/>
      <x:c r="Q73" s="3"/>
    </x:row>
    <x:row r="74" ht="20" customHeight="1">
      <x:c r="C74" s="3"/>
      <x:c r="D74" s="42"/>
      <x:c r="E74" s="42"/>
      <x:c r="F74" s="42"/>
      <x:c r="G74" s="42"/>
      <x:c r="H74" s="42"/>
      <x:c r="I74" s="13"/>
      <x:c r="J74" s="13"/>
      <x:c r="K74" s="13"/>
      <x:c r="L74" s="13"/>
      <x:c r="M74" s="13"/>
      <x:c r="N74" s="3"/>
      <x:c r="O74" s="3"/>
      <x:c r="P74" s="3"/>
      <x:c r="Q74" s="3"/>
    </x:row>
    <x:row r="75" ht="20" customHeight="1">
      <x:c r="C75" s="3"/>
      <x:c r="D75" s="42"/>
      <x:c r="E75" s="42"/>
      <x:c r="F75" s="42"/>
      <x:c r="G75" s="42"/>
      <x:c r="H75" s="42"/>
      <x:c r="I75" s="13"/>
      <x:c r="J75" s="13"/>
      <x:c r="K75" s="13"/>
      <x:c r="L75" s="13"/>
      <x:c r="M75" s="13"/>
      <x:c r="N75" s="3"/>
      <x:c r="O75" s="3"/>
      <x:c r="P75" s="3"/>
      <x:c r="Q75" s="3"/>
    </x:row>
    <x:row r="76" ht="20" customHeight="1">
      <x:c r="C76" s="3"/>
      <x:c r="D76" s="42"/>
      <x:c r="E76" s="42"/>
      <x:c r="F76" s="42"/>
      <x:c r="G76" s="42"/>
      <x:c r="H76" s="42"/>
      <x:c r="I76" s="13"/>
      <x:c r="J76" s="13"/>
      <x:c r="K76" s="13"/>
      <x:c r="L76" s="13"/>
      <x:c r="M76" s="13"/>
      <x:c r="N76" s="3"/>
      <x:c r="O76" s="3"/>
      <x:c r="P76" s="3"/>
      <x:c r="Q76" s="3"/>
    </x:row>
    <x:row r="77" ht="20" customHeight="1">
      <x:c r="C77" s="3"/>
      <x:c r="D77" s="42"/>
      <x:c r="E77" s="42"/>
      <x:c r="F77" s="42"/>
      <x:c r="G77" s="42"/>
      <x:c r="H77" s="42"/>
      <x:c r="I77" s="13"/>
      <x:c r="J77" s="13"/>
      <x:c r="K77" s="13"/>
      <x:c r="L77" s="13"/>
      <x:c r="M77" s="13"/>
      <x:c r="N77" s="3"/>
      <x:c r="O77" s="3"/>
      <x:c r="P77" s="3"/>
      <x:c r="Q77" s="3"/>
    </x:row>
    <x:row r="78" ht="20" customHeight="1">
      <x:c r="C78" s="3"/>
      <x:c r="D78" s="42"/>
      <x:c r="E78" s="42"/>
      <x:c r="F78" s="42"/>
      <x:c r="G78" s="42"/>
      <x:c r="H78" s="42"/>
      <x:c r="I78" s="13"/>
      <x:c r="J78" s="13"/>
      <x:c r="K78" s="13"/>
      <x:c r="L78" s="13"/>
      <x:c r="M78" s="13"/>
      <x:c r="N78" s="3"/>
      <x:c r="O78" s="3"/>
      <x:c r="P78" s="3"/>
      <x:c r="Q78" s="3"/>
    </x:row>
    <x:row r="79" ht="20" customHeight="1">
      <x:c r="C79" s="3"/>
      <x:c r="D79" s="42"/>
      <x:c r="E79" s="42"/>
      <x:c r="F79" s="42"/>
      <x:c r="G79" s="42"/>
      <x:c r="H79" s="42"/>
      <x:c r="I79" s="13"/>
      <x:c r="J79" s="13"/>
      <x:c r="K79" s="13"/>
      <x:c r="L79" s="13"/>
      <x:c r="M79" s="13"/>
      <x:c r="N79" s="3"/>
      <x:c r="O79" s="3"/>
      <x:c r="P79" s="3"/>
      <x:c r="Q79" s="3"/>
    </x:row>
    <x:row r="80" ht="20" customHeight="1">
      <x:c r="C80" s="3"/>
      <x:c r="D80" s="42"/>
      <x:c r="E80" s="42"/>
      <x:c r="F80" s="42"/>
      <x:c r="G80" s="42"/>
      <x:c r="H80" s="42"/>
      <x:c r="I80" s="13"/>
      <x:c r="J80" s="13"/>
      <x:c r="K80" s="13"/>
      <x:c r="L80" s="13"/>
      <x:c r="M80" s="13"/>
      <x:c r="N80" s="3"/>
      <x:c r="O80" s="3"/>
      <x:c r="P80" s="3"/>
      <x:c r="Q80" s="3"/>
    </x:row>
    <x:row r="81" ht="20" customHeight="1">
      <x:c r="C81" s="3"/>
      <x:c r="D81" s="42"/>
      <x:c r="E81" s="42"/>
      <x:c r="F81" s="42"/>
      <x:c r="G81" s="42"/>
      <x:c r="H81" s="42"/>
      <x:c r="I81" s="13"/>
      <x:c r="J81" s="13"/>
      <x:c r="K81" s="13"/>
      <x:c r="L81" s="13"/>
      <x:c r="M81" s="13"/>
      <x:c r="N81" s="3"/>
      <x:c r="O81" s="3"/>
      <x:c r="P81" s="3"/>
      <x:c r="Q81" s="3"/>
    </x:row>
    <x:row r="82" ht="20" customHeight="1">
      <x:c r="C82" s="3"/>
      <x:c r="D82" s="42"/>
      <x:c r="E82" s="42"/>
      <x:c r="F82" s="42"/>
      <x:c r="G82" s="42"/>
      <x:c r="H82" s="42"/>
      <x:c r="I82" s="13"/>
      <x:c r="J82" s="13"/>
      <x:c r="K82" s="13"/>
      <x:c r="L82" s="13"/>
      <x:c r="M82" s="13"/>
      <x:c r="N82" s="3"/>
      <x:c r="O82" s="3"/>
      <x:c r="P82" s="3"/>
      <x:c r="Q82" s="3"/>
    </x:row>
    <x:row r="83" ht="20" customHeight="1">
      <x:c r="C83" s="3"/>
      <x:c r="D83" s="42"/>
      <x:c r="E83" s="42"/>
      <x:c r="F83" s="42"/>
      <x:c r="G83" s="42"/>
      <x:c r="H83" s="42"/>
      <x:c r="I83" s="13"/>
      <x:c r="J83" s="13"/>
      <x:c r="K83" s="13"/>
      <x:c r="L83" s="13"/>
      <x:c r="M83" s="13"/>
      <x:c r="N83" s="3"/>
      <x:c r="O83" s="3"/>
      <x:c r="P83" s="3"/>
      <x:c r="Q83" s="3"/>
    </x:row>
    <x:row r="84" ht="20" customHeight="1">
      <x:c r="C84" s="3"/>
      <x:c r="D84" s="42"/>
      <x:c r="E84" s="42"/>
      <x:c r="F84" s="42"/>
      <x:c r="G84" s="42"/>
      <x:c r="H84" s="42"/>
      <x:c r="I84" s="13"/>
      <x:c r="J84" s="13"/>
      <x:c r="K84" s="13"/>
      <x:c r="L84" s="13"/>
      <x:c r="M84" s="13"/>
      <x:c r="N84" s="3"/>
      <x:c r="O84" s="3"/>
      <x:c r="P84" s="3"/>
      <x:c r="Q84" s="3"/>
    </x:row>
    <x:row r="85" ht="20" customHeight="1">
      <x:c r="C85" s="3"/>
      <x:c r="D85" s="42"/>
      <x:c r="E85" s="42"/>
      <x:c r="F85" s="42"/>
      <x:c r="G85" s="42"/>
      <x:c r="H85" s="42"/>
      <x:c r="I85" s="13"/>
      <x:c r="J85" s="13"/>
      <x:c r="K85" s="13"/>
      <x:c r="L85" s="13"/>
      <x:c r="M85" s="13"/>
      <x:c r="N85" s="3"/>
      <x:c r="O85" s="3"/>
      <x:c r="P85" s="3"/>
      <x:c r="Q85" s="3"/>
    </x:row>
    <x:row r="86" ht="20" customHeight="1">
      <x:c r="C86" s="3"/>
      <x:c r="D86" s="42"/>
      <x:c r="E86" s="42"/>
      <x:c r="F86" s="42"/>
      <x:c r="G86" s="42"/>
      <x:c r="H86" s="42"/>
      <x:c r="I86" s="13"/>
      <x:c r="J86" s="13"/>
      <x:c r="K86" s="13"/>
      <x:c r="L86" s="13"/>
      <x:c r="M86" s="13"/>
      <x:c r="N86" s="3"/>
      <x:c r="O86" s="3"/>
      <x:c r="P86" s="3"/>
      <x:c r="Q86" s="3"/>
    </x:row>
    <x:row r="87" ht="20" customHeight="1">
      <x:c r="C87" s="3"/>
      <x:c r="D87" s="42"/>
      <x:c r="E87" s="42"/>
      <x:c r="F87" s="42"/>
      <x:c r="G87" s="42"/>
      <x:c r="H87" s="42"/>
      <x:c r="I87" s="13"/>
      <x:c r="J87" s="13"/>
      <x:c r="K87" s="13"/>
      <x:c r="L87" s="13"/>
      <x:c r="M87" s="13"/>
      <x:c r="N87" s="3"/>
      <x:c r="O87" s="3"/>
      <x:c r="P87" s="3"/>
      <x:c r="Q87" s="3"/>
    </x:row>
    <x:row r="88" ht="20" customHeight="1">
      <x:c r="C88" s="3"/>
      <x:c r="D88" s="42"/>
      <x:c r="E88" s="42"/>
      <x:c r="F88" s="42"/>
      <x:c r="G88" s="42"/>
      <x:c r="H88" s="42"/>
      <x:c r="I88" s="13"/>
      <x:c r="J88" s="13"/>
      <x:c r="K88" s="13"/>
      <x:c r="L88" s="13"/>
      <x:c r="M88" s="13"/>
      <x:c r="N88" s="3"/>
      <x:c r="O88" s="3"/>
      <x:c r="P88" s="3"/>
      <x:c r="Q88" s="3"/>
    </x:row>
    <x:row r="89" ht="20" customHeight="1">
      <x:c r="C89" s="3"/>
      <x:c r="D89" s="42"/>
      <x:c r="E89" s="42"/>
      <x:c r="F89" s="42"/>
      <x:c r="G89" s="42"/>
      <x:c r="H89" s="42"/>
      <x:c r="I89" s="13"/>
      <x:c r="J89" s="13"/>
      <x:c r="K89" s="13"/>
      <x:c r="L89" s="13"/>
      <x:c r="M89" s="13"/>
      <x:c r="N89" s="3"/>
      <x:c r="O89" s="3"/>
      <x:c r="P89" s="3"/>
      <x:c r="Q89" s="3"/>
    </x:row>
    <x:row r="90" ht="20" customHeight="1">
      <x:c r="C90" s="3"/>
      <x:c r="D90" s="42"/>
      <x:c r="E90" s="42"/>
      <x:c r="F90" s="42"/>
      <x:c r="G90" s="42"/>
      <x:c r="H90" s="42"/>
      <x:c r="I90" s="13"/>
      <x:c r="J90" s="13"/>
      <x:c r="K90" s="13"/>
      <x:c r="L90" s="13"/>
      <x:c r="M90" s="13"/>
      <x:c r="N90" s="3"/>
      <x:c r="O90" s="3"/>
      <x:c r="P90" s="3"/>
      <x:c r="Q90" s="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E9DCC3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0" hidden="0" customWidth="1"/>
    <x:col min="16" max="16" width="16" hidden="0" customWidth="1"/>
    <x:col min="17" max="17" width="16" hidden="0" customWidth="1"/>
  </x:cols>
  <x:sheetData>
    <x:row r="1" ht="20" customHeight="1"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C2" s="7" t="str">
        <x:v>Reported data and source adjustments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3"/>
      <x:c r="O2" s="3"/>
      <x:c r="P2" s="3"/>
      <x:c r="Q2" s="3"/>
    </x:row>
    <x:row r="3" ht="20" customHeight="1">
      <x:c r="C3" s="8" t="str">
        <x:v>USD millions except shares (millions), per-share values and rates</x:v>
      </x:c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3"/>
      <x:c r="O3" s="3"/>
      <x:c r="P3" s="3"/>
      <x:c r="Q3" s="3"/>
    </x:row>
    <x:row r="4" ht="24" customHeight="1">
      <x:c r="C4" s="11"/>
      <x:c r="D4" s="11" t="str">
        <x:v>FY:22 A</x:v>
      </x:c>
      <x:c r="E4" s="11" t="str">
        <x:v>FY:23 A</x:v>
      </x:c>
      <x:c r="F4" s="11" t="str">
        <x:v>FY:24 A</x:v>
      </x:c>
      <x:c r="G4" s="11" t="str">
        <x:v>FY:25 A</x:v>
      </x:c>
      <x:c r="H4" s="11" t="str">
        <x:v>FY:26 A</x:v>
      </x:c>
      <x:c r="I4" s="11" t="str">
        <x:v>FY:27 F</x:v>
      </x:c>
      <x:c r="J4" s="11" t="str">
        <x:v>FY:28 F</x:v>
      </x:c>
      <x:c r="K4" s="11" t="str">
        <x:v>FY:29 F</x:v>
      </x:c>
      <x:c r="L4" s="11" t="str">
        <x:v>FY:30 F</x:v>
      </x:c>
      <x:c r="M4" s="11" t="str">
        <x:v>FY:31 F</x:v>
      </x:c>
      <x:c r="N4" s="3"/>
      <x:c r="O4" s="3"/>
      <x:c r="P4" s="3"/>
      <x:c r="Q4" s="3"/>
    </x:row>
    <x:row r="5" ht="20" customHeight="1">
      <x:c r="C5" s="3"/>
      <x:c r="D5" s="30"/>
      <x:c r="E5" s="30"/>
      <x:c r="F5" s="30"/>
      <x:c r="G5" s="30"/>
      <x:c r="H5" s="30"/>
      <x:c r="I5" s="13"/>
      <x:c r="J5" s="13"/>
      <x:c r="K5" s="13"/>
      <x:c r="L5" s="13"/>
      <x:c r="M5" s="13"/>
      <x:c r="N5" s="3"/>
      <x:c r="O5" s="3"/>
      <x:c r="P5" s="3"/>
      <x:c r="Q5" s="3"/>
    </x:row>
    <x:row r="6" ht="23" customHeight="1">
      <x:c r="C6" s="10" t="str">
        <x:v>INCOME STATEMENT</x:v>
      </x:c>
      <x:c r="D6" s="31"/>
      <x:c r="E6" s="31"/>
      <x:c r="F6" s="31"/>
      <x:c r="G6" s="31"/>
      <x:c r="H6" s="31"/>
      <x:c r="I6" s="16"/>
      <x:c r="J6" s="16"/>
      <x:c r="K6" s="16"/>
      <x:c r="L6" s="16"/>
      <x:c r="M6" s="16"/>
      <x:c r="N6" s="3"/>
      <x:c r="O6" s="3"/>
      <x:c r="P6" s="3"/>
      <x:c r="Q6" s="3"/>
    </x:row>
    <x:row r="7" ht="20" customHeight="1">
      <x:c r="C7" s="20" t="str">
        <x:v>Revenue</x:v>
      </x:c>
      <x:c r="D7" s="32" t="n">
        <x:v>198270</x:v>
      </x:c>
      <x:c r="E7" s="32" t="n">
        <x:v>211915</x:v>
      </x:c>
      <x:c r="F7" s="32" t="n">
        <x:v>245122</x:v>
      </x:c>
      <x:c r="G7" s="32" t="n">
        <x:v>281724</x:v>
      </x:c>
      <x:c r="H7" s="32" t="n">
        <x:v>331839</x:v>
      </x:c>
      <x:c r="I7" s="22"/>
      <x:c r="J7" s="22"/>
      <x:c r="K7" s="22"/>
      <x:c r="L7" s="22"/>
      <x:c r="M7" s="22"/>
      <x:c r="N7" s="3"/>
      <x:c r="O7" s="36" t="str">
        <x:v>Source: newest annual-report comparative, FY2022–FY2026. https://www.microsoft.com/investor/reports/ar26/index.html</x:v>
      </x:c>
      <x:c r="P7" s="3"/>
      <x:c r="Q7" s="3"/>
    </x:row>
    <x:row r="8" ht="20" customHeight="1">
      <x:c r="C8" s="3" t="str">
        <x:v>Cost of revenue</x:v>
      </x:c>
      <x:c r="D8" s="30" t="n">
        <x:v>62650</x:v>
      </x:c>
      <x:c r="E8" s="30" t="n">
        <x:v>65863</x:v>
      </x:c>
      <x:c r="F8" s="30" t="n">
        <x:v>74114</x:v>
      </x:c>
      <x:c r="G8" s="30" t="n">
        <x:v>87831</x:v>
      </x:c>
      <x:c r="H8" s="30" t="n">
        <x:v>106374</x:v>
      </x:c>
      <x:c r="I8" s="13"/>
      <x:c r="J8" s="13"/>
      <x:c r="K8" s="13"/>
      <x:c r="L8" s="13"/>
      <x:c r="M8" s="13"/>
      <x:c r="N8" s="3"/>
      <x:c r="O8" s="3"/>
      <x:c r="P8" s="3"/>
      <x:c r="Q8" s="3"/>
    </x:row>
    <x:row r="9" ht="20" customHeight="1">
      <x:c r="C9" s="20" t="str">
        <x:v>Gross profit</x:v>
      </x:c>
      <x:c r="D9" s="32" t="n">
        <x:v>135620</x:v>
      </x:c>
      <x:c r="E9" s="32" t="n">
        <x:v>146052</x:v>
      </x:c>
      <x:c r="F9" s="32" t="n">
        <x:v>171008</x:v>
      </x:c>
      <x:c r="G9" s="32" t="n">
        <x:v>193893</x:v>
      </x:c>
      <x:c r="H9" s="32" t="n">
        <x:v>225465</x:v>
      </x:c>
      <x:c r="I9" s="22"/>
      <x:c r="J9" s="22"/>
      <x:c r="K9" s="22"/>
      <x:c r="L9" s="22"/>
      <x:c r="M9" s="22"/>
      <x:c r="N9" s="3"/>
      <x:c r="O9" s="3"/>
      <x:c r="P9" s="3"/>
      <x:c r="Q9" s="3"/>
    </x:row>
    <x:row r="10" ht="20" customHeight="1">
      <x:c r="C10" s="3" t="str">
        <x:v>Research and development</x:v>
      </x:c>
      <x:c r="D10" s="30" t="n">
        <x:v>24512</x:v>
      </x:c>
      <x:c r="E10" s="30" t="n">
        <x:v>27195</x:v>
      </x:c>
      <x:c r="F10" s="30" t="n">
        <x:v>29510</x:v>
      </x:c>
      <x:c r="G10" s="30" t="n">
        <x:v>32488</x:v>
      </x:c>
      <x:c r="H10" s="30" t="n">
        <x:v>35562</x:v>
      </x:c>
      <x:c r="I10" s="13"/>
      <x:c r="J10" s="13"/>
      <x:c r="K10" s="13"/>
      <x:c r="L10" s="13"/>
      <x:c r="M10" s="13"/>
      <x:c r="N10" s="3"/>
      <x:c r="O10" s="3"/>
      <x:c r="P10" s="3"/>
      <x:c r="Q10" s="3"/>
    </x:row>
    <x:row r="11" ht="20" customHeight="1">
      <x:c r="C11" s="3" t="str">
        <x:v>Sales and marketing</x:v>
      </x:c>
      <x:c r="D11" s="30" t="n">
        <x:v>21825</x:v>
      </x:c>
      <x:c r="E11" s="30" t="n">
        <x:v>22759</x:v>
      </x:c>
      <x:c r="F11" s="30" t="n">
        <x:v>24456</x:v>
      </x:c>
      <x:c r="G11" s="30" t="n">
        <x:v>25654</x:v>
      </x:c>
      <x:c r="H11" s="30" t="n">
        <x:v>26710</x:v>
      </x:c>
      <x:c r="I11" s="13"/>
      <x:c r="J11" s="13"/>
      <x:c r="K11" s="13"/>
      <x:c r="L11" s="13"/>
      <x:c r="M11" s="13"/>
      <x:c r="N11" s="3"/>
      <x:c r="O11" s="3"/>
      <x:c r="P11" s="3"/>
      <x:c r="Q11" s="3"/>
    </x:row>
    <x:row r="12" ht="20" customHeight="1">
      <x:c r="C12" s="3" t="str">
        <x:v>General and administrative</x:v>
      </x:c>
      <x:c r="D12" s="30" t="n">
        <x:v>5900</x:v>
      </x:c>
      <x:c r="E12" s="30" t="n">
        <x:v>7575</x:v>
      </x:c>
      <x:c r="F12" s="30" t="n">
        <x:v>7609</x:v>
      </x:c>
      <x:c r="G12" s="30" t="n">
        <x:v>7223</x:v>
      </x:c>
      <x:c r="H12" s="30" t="n">
        <x:v>7956</x:v>
      </x:c>
      <x:c r="I12" s="13"/>
      <x:c r="J12" s="13"/>
      <x:c r="K12" s="13"/>
      <x:c r="L12" s="13"/>
      <x:c r="M12" s="13"/>
      <x:c r="N12" s="3"/>
      <x:c r="O12" s="3"/>
      <x:c r="P12" s="3"/>
      <x:c r="Q12" s="3"/>
    </x:row>
    <x:row r="13" ht="20" customHeight="1">
      <x:c r="C13" s="20" t="str">
        <x:v>Operating income</x:v>
      </x:c>
      <x:c r="D13" s="32" t="n">
        <x:v>83383</x:v>
      </x:c>
      <x:c r="E13" s="32" t="n">
        <x:v>88523</x:v>
      </x:c>
      <x:c r="F13" s="32" t="n">
        <x:v>109433</x:v>
      </x:c>
      <x:c r="G13" s="32" t="n">
        <x:v>128528</x:v>
      </x:c>
      <x:c r="H13" s="32" t="n">
        <x:v>155237</x:v>
      </x:c>
      <x:c r="I13" s="22"/>
      <x:c r="J13" s="22"/>
      <x:c r="K13" s="22"/>
      <x:c r="L13" s="22"/>
      <x:c r="M13" s="22"/>
      <x:c r="N13" s="3"/>
      <x:c r="O13" s="3"/>
      <x:c r="P13" s="3"/>
      <x:c r="Q13" s="3"/>
    </x:row>
    <x:row r="14" ht="20" customHeight="1">
      <x:c r="C14" s="25" t="str">
        <x:v>Operating margin</x:v>
      </x:c>
      <x:c r="D14" s="33" t="n">
        <x:v>0.4205527815604983</x:v>
      </x:c>
      <x:c r="E14" s="33" t="n">
        <x:v>0.417728806361041</x:v>
      </x:c>
      <x:c r="F14" s="33" t="n">
        <x:v>0.44644299573273716</x:v>
      </x:c>
      <x:c r="G14" s="33" t="n">
        <x:v>0.4562195624085985</x:v>
      </x:c>
      <x:c r="H14" s="33" t="n">
        <x:v>0.4678081840892722</x:v>
      </x:c>
      <x:c r="I14" s="27"/>
      <x:c r="J14" s="27"/>
      <x:c r="K14" s="27"/>
      <x:c r="L14" s="27"/>
      <x:c r="M14" s="27"/>
      <x:c r="N14" s="3"/>
      <x:c r="O14" s="3"/>
      <x:c r="P14" s="3"/>
      <x:c r="Q14" s="3"/>
    </x:row>
    <x:row r="15" ht="20" customHeight="1">
      <x:c r="C15" s="3" t="str">
        <x:v>Interest and dividend income</x:v>
      </x:c>
      <x:c r="D15" s="30" t="n">
        <x:v>2094</x:v>
      </x:c>
      <x:c r="E15" s="30" t="n">
        <x:v>2994</x:v>
      </x:c>
      <x:c r="F15" s="30" t="n">
        <x:v>3157</x:v>
      </x:c>
      <x:c r="G15" s="30" t="n">
        <x:v>2647</x:v>
      </x:c>
      <x:c r="H15" s="30" t="n">
        <x:v>3301</x:v>
      </x:c>
      <x:c r="I15" s="13"/>
      <x:c r="J15" s="13"/>
      <x:c r="K15" s="13"/>
      <x:c r="L15" s="13"/>
      <x:c r="M15" s="13"/>
      <x:c r="N15" s="3"/>
      <x:c r="O15" s="3"/>
      <x:c r="P15" s="3"/>
      <x:c r="Q15" s="3"/>
    </x:row>
    <x:row r="16" ht="20" customHeight="1">
      <x:c r="C16" s="3" t="str">
        <x:v>Interest expense</x:v>
      </x:c>
      <x:c r="D16" s="30" t="n">
        <x:v>2063</x:v>
      </x:c>
      <x:c r="E16" s="30" t="n">
        <x:v>1968</x:v>
      </x:c>
      <x:c r="F16" s="30" t="n">
        <x:v>2935</x:v>
      </x:c>
      <x:c r="G16" s="30" t="n">
        <x:v>2385</x:v>
      </x:c>
      <x:c r="H16" s="30" t="n">
        <x:v>3051</x:v>
      </x:c>
      <x:c r="I16" s="13"/>
      <x:c r="J16" s="13"/>
      <x:c r="K16" s="13"/>
      <x:c r="L16" s="13"/>
      <x:c r="M16" s="13"/>
      <x:c r="N16" s="3"/>
      <x:c r="O16" s="3"/>
      <x:c r="P16" s="3"/>
      <x:c r="Q16" s="3"/>
    </x:row>
    <x:row r="17" ht="20" customHeight="1">
      <x:c r="C17" s="3" t="str">
        <x:v>Other nonoperating gains / (losses)</x:v>
      </x:c>
      <x:c r="D17" s="30" t="n">
        <x:v>302</x:v>
      </x:c>
      <x:c r="E17" s="30" t="n">
        <x:v>-238</x:v>
      </x:c>
      <x:c r="F17" s="30" t="n">
        <x:v>-1868</x:v>
      </x:c>
      <x:c r="G17" s="30" t="n">
        <x:v>-5163</x:v>
      </x:c>
      <x:c r="H17" s="30" t="n">
        <x:v>10447</x:v>
      </x:c>
      <x:c r="I17" s="13"/>
      <x:c r="J17" s="13"/>
      <x:c r="K17" s="13"/>
      <x:c r="L17" s="13"/>
      <x:c r="M17" s="13"/>
      <x:c r="N17" s="3"/>
      <x:c r="O17" s="3"/>
      <x:c r="P17" s="3"/>
      <x:c r="Q17" s="3"/>
    </x:row>
    <x:row r="18" ht="20" customHeight="1">
      <x:c r="C18" s="20" t="str">
        <x:v>Income before tax</x:v>
      </x:c>
      <x:c r="D18" s="32" t="n">
        <x:v>83716</x:v>
      </x:c>
      <x:c r="E18" s="32" t="n">
        <x:v>89311</x:v>
      </x:c>
      <x:c r="F18" s="32" t="n">
        <x:v>107787</x:v>
      </x:c>
      <x:c r="G18" s="32" t="n">
        <x:v>123627</x:v>
      </x:c>
      <x:c r="H18" s="32" t="n">
        <x:v>165934</x:v>
      </x:c>
      <x:c r="I18" s="22"/>
      <x:c r="J18" s="22"/>
      <x:c r="K18" s="22"/>
      <x:c r="L18" s="22"/>
      <x:c r="M18" s="22"/>
      <x:c r="N18" s="3"/>
      <x:c r="O18" s="3"/>
      <x:c r="P18" s="3"/>
      <x:c r="Q18" s="3"/>
    </x:row>
    <x:row r="19" ht="20" customHeight="1">
      <x:c r="C19" s="3" t="str">
        <x:v>Income tax expense</x:v>
      </x:c>
      <x:c r="D19" s="30" t="n">
        <x:v>10978</x:v>
      </x:c>
      <x:c r="E19" s="30" t="n">
        <x:v>16950</x:v>
      </x:c>
      <x:c r="F19" s="30" t="n">
        <x:v>19651</x:v>
      </x:c>
      <x:c r="G19" s="30" t="n">
        <x:v>21795</x:v>
      </x:c>
      <x:c r="H19" s="30" t="n">
        <x:v>32185</x:v>
      </x:c>
      <x:c r="I19" s="13"/>
      <x:c r="J19" s="13"/>
      <x:c r="K19" s="13"/>
      <x:c r="L19" s="13"/>
      <x:c r="M19" s="13"/>
      <x:c r="N19" s="3"/>
      <x:c r="O19" s="3"/>
      <x:c r="P19" s="3"/>
      <x:c r="Q19" s="3"/>
    </x:row>
    <x:row r="20" ht="20" customHeight="1">
      <x:c r="C20" s="20" t="str">
        <x:v>Net income</x:v>
      </x:c>
      <x:c r="D20" s="32" t="n">
        <x:v>72738</x:v>
      </x:c>
      <x:c r="E20" s="32" t="n">
        <x:v>72361</x:v>
      </x:c>
      <x:c r="F20" s="32" t="n">
        <x:v>88136</x:v>
      </x:c>
      <x:c r="G20" s="32" t="n">
        <x:v>101832</x:v>
      </x:c>
      <x:c r="H20" s="32" t="n">
        <x:v>133749</x:v>
      </x:c>
      <x:c r="I20" s="22"/>
      <x:c r="J20" s="22"/>
      <x:c r="K20" s="22"/>
      <x:c r="L20" s="22"/>
      <x:c r="M20" s="22"/>
      <x:c r="N20" s="3"/>
      <x:c r="O20" s="3"/>
      <x:c r="P20" s="3"/>
      <x:c r="Q20" s="3"/>
    </x:row>
    <x:row r="21" ht="20" customHeight="1">
      <x:c r="C21" s="3" t="str">
        <x:v>Weighted-average diluted shares</x:v>
      </x:c>
      <x:c r="D21" s="30" t="n">
        <x:v>7540</x:v>
      </x:c>
      <x:c r="E21" s="30" t="n">
        <x:v>7472</x:v>
      </x:c>
      <x:c r="F21" s="30" t="n">
        <x:v>7469</x:v>
      </x:c>
      <x:c r="G21" s="30" t="n">
        <x:v>7465</x:v>
      </x:c>
      <x:c r="H21" s="30" t="n">
        <x:v>7453</x:v>
      </x:c>
      <x:c r="I21" s="13"/>
      <x:c r="J21" s="13"/>
      <x:c r="K21" s="13"/>
      <x:c r="L21" s="13"/>
      <x:c r="M21" s="13"/>
      <x:c r="N21" s="3"/>
      <x:c r="O21" s="3"/>
      <x:c r="P21" s="3"/>
      <x:c r="Q21" s="3"/>
    </x:row>
    <x:row r="22" ht="20" customHeight="1">
      <x:c r="C22" s="3" t="str">
        <x:v>Diluted EPS</x:v>
      </x:c>
      <x:c r="D22" s="34" t="n">
        <x:v>9.65</x:v>
      </x:c>
      <x:c r="E22" s="34" t="n">
        <x:v>9.68</x:v>
      </x:c>
      <x:c r="F22" s="34" t="n">
        <x:v>11.8</x:v>
      </x:c>
      <x:c r="G22" s="34" t="n">
        <x:v>13.64</x:v>
      </x:c>
      <x:c r="H22" s="34" t="n">
        <x:v>17.95</x:v>
      </x:c>
      <x:c r="I22" s="29"/>
      <x:c r="J22" s="29"/>
      <x:c r="K22" s="29"/>
      <x:c r="L22" s="29"/>
      <x:c r="M22" s="29"/>
      <x:c r="N22" s="3"/>
      <x:c r="O22" s="3"/>
      <x:c r="P22" s="3"/>
      <x:c r="Q22" s="3"/>
    </x:row>
    <x:row r="23" ht="20" customHeight="1">
      <x:c r="C23" s="3"/>
      <x:c r="D23" s="30"/>
      <x:c r="E23" s="30"/>
      <x:c r="F23" s="30"/>
      <x:c r="G23" s="30"/>
      <x:c r="H23" s="30"/>
      <x:c r="I23" s="13"/>
      <x:c r="J23" s="13"/>
      <x:c r="K23" s="13"/>
      <x:c r="L23" s="13"/>
      <x:c r="M23" s="13"/>
      <x:c r="N23" s="3"/>
      <x:c r="O23" s="3"/>
      <x:c r="P23" s="3"/>
      <x:c r="Q23" s="3"/>
    </x:row>
    <x:row r="24" ht="23" customHeight="1">
      <x:c r="C24" s="10" t="str">
        <x:v>BALANCE SHEET</x:v>
      </x:c>
      <x:c r="D24" s="31"/>
      <x:c r="E24" s="31"/>
      <x:c r="F24" s="31"/>
      <x:c r="G24" s="31"/>
      <x:c r="H24" s="31"/>
      <x:c r="I24" s="16"/>
      <x:c r="J24" s="16"/>
      <x:c r="K24" s="16"/>
      <x:c r="L24" s="16"/>
      <x:c r="M24" s="16"/>
      <x:c r="N24" s="3"/>
      <x:c r="O24" s="3"/>
      <x:c r="P24" s="3"/>
      <x:c r="Q24" s="3"/>
    </x:row>
    <x:row r="25" ht="20" customHeight="1">
      <x:c r="C25" s="3" t="str">
        <x:v>Cash and cash equivalents</x:v>
      </x:c>
      <x:c r="D25" s="30" t="n">
        <x:v>13931</x:v>
      </x:c>
      <x:c r="E25" s="30" t="n">
        <x:v>34704</x:v>
      </x:c>
      <x:c r="F25" s="30" t="n">
        <x:v>18315</x:v>
      </x:c>
      <x:c r="G25" s="30" t="n">
        <x:v>30242</x:v>
      </x:c>
      <x:c r="H25" s="30" t="n">
        <x:v>20935</x:v>
      </x:c>
      <x:c r="I25" s="13"/>
      <x:c r="J25" s="13"/>
      <x:c r="K25" s="13"/>
      <x:c r="L25" s="13"/>
      <x:c r="M25" s="13"/>
      <x:c r="N25" s="3"/>
      <x:c r="O25" s="36" t="str">
        <x:v>Source: newest annual-report comparative, FY2022–FY2026. https://www.microsoft.com/investor/reports/ar26/index.html</x:v>
      </x:c>
      <x:c r="P25" s="3"/>
      <x:c r="Q25" s="3"/>
    </x:row>
    <x:row r="26" ht="20" customHeight="1">
      <x:c r="C26" s="3" t="str">
        <x:v>Short-term investments</x:v>
      </x:c>
      <x:c r="D26" s="30" t="n">
        <x:v>90826</x:v>
      </x:c>
      <x:c r="E26" s="30" t="n">
        <x:v>76558</x:v>
      </x:c>
      <x:c r="F26" s="30" t="n">
        <x:v>57228</x:v>
      </x:c>
      <x:c r="G26" s="30" t="n">
        <x:v>64323</x:v>
      </x:c>
      <x:c r="H26" s="30" t="n">
        <x:v>55908</x:v>
      </x:c>
      <x:c r="I26" s="13"/>
      <x:c r="J26" s="13"/>
      <x:c r="K26" s="13"/>
      <x:c r="L26" s="13"/>
      <x:c r="M26" s="13"/>
      <x:c r="N26" s="3"/>
      <x:c r="O26" s="3"/>
      <x:c r="P26" s="3"/>
      <x:c r="Q26" s="3"/>
    </x:row>
    <x:row r="27" ht="20" customHeight="1">
      <x:c r="C27" s="3" t="str">
        <x:v>Accounts receivable</x:v>
      </x:c>
      <x:c r="D27" s="30" t="n">
        <x:v>44261</x:v>
      </x:c>
      <x:c r="E27" s="30" t="n">
        <x:v>48688</x:v>
      </x:c>
      <x:c r="F27" s="30" t="n">
        <x:v>56924</x:v>
      </x:c>
      <x:c r="G27" s="30" t="n">
        <x:v>69905</x:v>
      </x:c>
      <x:c r="H27" s="30" t="n">
        <x:v>80876</x:v>
      </x:c>
      <x:c r="I27" s="13"/>
      <x:c r="J27" s="13"/>
      <x:c r="K27" s="13"/>
      <x:c r="L27" s="13"/>
      <x:c r="M27" s="13"/>
      <x:c r="N27" s="3"/>
      <x:c r="O27" s="3"/>
      <x:c r="P27" s="3"/>
      <x:c r="Q27" s="3"/>
    </x:row>
    <x:row r="28" ht="20" customHeight="1">
      <x:c r="C28" s="3" t="str">
        <x:v>Inventories</x:v>
      </x:c>
      <x:c r="D28" s="30" t="n">
        <x:v>3742</x:v>
      </x:c>
      <x:c r="E28" s="30" t="n">
        <x:v>2500</x:v>
      </x:c>
      <x:c r="F28" s="30" t="n">
        <x:v>1246</x:v>
      </x:c>
      <x:c r="G28" s="30" t="n">
        <x:v>938</x:v>
      </x:c>
      <x:c r="H28" s="30" t="n">
        <x:v>1397</x:v>
      </x:c>
      <x:c r="I28" s="13"/>
      <x:c r="J28" s="13"/>
      <x:c r="K28" s="13"/>
      <x:c r="L28" s="13"/>
      <x:c r="M28" s="13"/>
      <x:c r="N28" s="3"/>
      <x:c r="O28" s="3"/>
      <x:c r="P28" s="3"/>
      <x:c r="Q28" s="3"/>
    </x:row>
    <x:row r="29" ht="20" customHeight="1">
      <x:c r="C29" s="3" t="str">
        <x:v>Other current assets</x:v>
      </x:c>
      <x:c r="D29" s="30" t="n">
        <x:v>16924</x:v>
      </x:c>
      <x:c r="E29" s="30" t="n">
        <x:v>21807</x:v>
      </x:c>
      <x:c r="F29" s="30" t="n">
        <x:v>26021</x:v>
      </x:c>
      <x:c r="G29" s="30" t="n">
        <x:v>25723</x:v>
      </x:c>
      <x:c r="H29" s="30" t="n">
        <x:v>48594</x:v>
      </x:c>
      <x:c r="I29" s="13"/>
      <x:c r="J29" s="13"/>
      <x:c r="K29" s="13"/>
      <x:c r="L29" s="13"/>
      <x:c r="M29" s="13"/>
      <x:c r="N29" s="3"/>
      <x:c r="O29" s="3"/>
      <x:c r="P29" s="3"/>
      <x:c r="Q29" s="3"/>
    </x:row>
    <x:row r="30" ht="20" customHeight="1">
      <x:c r="C30" s="20" t="str">
        <x:v>Total current assets</x:v>
      </x:c>
      <x:c r="D30" s="32" t="n">
        <x:v>169684</x:v>
      </x:c>
      <x:c r="E30" s="32" t="n">
        <x:v>184257</x:v>
      </x:c>
      <x:c r="F30" s="32" t="n">
        <x:v>159734</x:v>
      </x:c>
      <x:c r="G30" s="32" t="n">
        <x:v>191131</x:v>
      </x:c>
      <x:c r="H30" s="32" t="n">
        <x:v>207710</x:v>
      </x:c>
      <x:c r="I30" s="22"/>
      <x:c r="J30" s="22"/>
      <x:c r="K30" s="22"/>
      <x:c r="L30" s="22"/>
      <x:c r="M30" s="22"/>
      <x:c r="N30" s="3"/>
      <x:c r="O30" s="3"/>
      <x:c r="P30" s="3"/>
      <x:c r="Q30" s="3"/>
    </x:row>
    <x:row r="31" ht="20" customHeight="1">
      <x:c r="C31" s="3" t="str">
        <x:v>Property and equipment, net</x:v>
      </x:c>
      <x:c r="D31" s="30" t="n">
        <x:v>74398</x:v>
      </x:c>
      <x:c r="E31" s="30" t="n">
        <x:v>95641</x:v>
      </x:c>
      <x:c r="F31" s="30" t="n">
        <x:v>135591</x:v>
      </x:c>
      <x:c r="G31" s="30" t="n">
        <x:v>204966</x:v>
      </x:c>
      <x:c r="H31" s="30" t="n">
        <x:v>313076</x:v>
      </x:c>
      <x:c r="I31" s="13"/>
      <x:c r="J31" s="13"/>
      <x:c r="K31" s="13"/>
      <x:c r="L31" s="13"/>
      <x:c r="M31" s="13"/>
      <x:c r="N31" s="3"/>
      <x:c r="O31" s="3"/>
      <x:c r="P31" s="3"/>
      <x:c r="Q31" s="3"/>
    </x:row>
    <x:row r="32" ht="20" customHeight="1">
      <x:c r="C32" s="3" t="str">
        <x:v>Operating lease right-of-use assets</x:v>
      </x:c>
      <x:c r="D32" s="30" t="n">
        <x:v>13148</x:v>
      </x:c>
      <x:c r="E32" s="30" t="n">
        <x:v>14346</x:v>
      </x:c>
      <x:c r="F32" s="30" t="n">
        <x:v>18961</x:v>
      </x:c>
      <x:c r="G32" s="30" t="n">
        <x:v>24823</x:v>
      </x:c>
      <x:c r="H32" s="30" t="n">
        <x:v>24177</x:v>
      </x:c>
      <x:c r="I32" s="13"/>
      <x:c r="J32" s="13"/>
      <x:c r="K32" s="13"/>
      <x:c r="L32" s="13"/>
      <x:c r="M32" s="13"/>
      <x:c r="N32" s="3"/>
      <x:c r="O32" s="3"/>
      <x:c r="P32" s="3"/>
      <x:c r="Q32" s="3"/>
    </x:row>
    <x:row r="33" ht="20" customHeight="1">
      <x:c r="C33" s="3" t="str">
        <x:v>Equity and other investments</x:v>
      </x:c>
      <x:c r="D33" s="30" t="n">
        <x:v>6891</x:v>
      </x:c>
      <x:c r="E33" s="30" t="n">
        <x:v>9879</x:v>
      </x:c>
      <x:c r="F33" s="30" t="n">
        <x:v>14600</x:v>
      </x:c>
      <x:c r="G33" s="30" t="n">
        <x:v>15405</x:v>
      </x:c>
      <x:c r="H33" s="30" t="n">
        <x:v>36348</x:v>
      </x:c>
      <x:c r="I33" s="13"/>
      <x:c r="J33" s="13"/>
      <x:c r="K33" s="13"/>
      <x:c r="L33" s="13"/>
      <x:c r="M33" s="13"/>
      <x:c r="N33" s="3"/>
      <x:c r="O33" s="3"/>
      <x:c r="P33" s="3"/>
      <x:c r="Q33" s="3"/>
    </x:row>
    <x:row r="34" ht="20" customHeight="1">
      <x:c r="C34" s="3" t="str">
        <x:v>Goodwill</x:v>
      </x:c>
      <x:c r="D34" s="30" t="n">
        <x:v>67524</x:v>
      </x:c>
      <x:c r="E34" s="30" t="n">
        <x:v>67886</x:v>
      </x:c>
      <x:c r="F34" s="30" t="n">
        <x:v>119220</x:v>
      </x:c>
      <x:c r="G34" s="30" t="n">
        <x:v>119509</x:v>
      </x:c>
      <x:c r="H34" s="30" t="n">
        <x:v>119651</x:v>
      </x:c>
      <x:c r="I34" s="13"/>
      <x:c r="J34" s="13"/>
      <x:c r="K34" s="13"/>
      <x:c r="L34" s="13"/>
      <x:c r="M34" s="13"/>
      <x:c r="N34" s="3"/>
      <x:c r="O34" s="3"/>
      <x:c r="P34" s="3"/>
      <x:c r="Q34" s="3"/>
    </x:row>
    <x:row r="35" ht="20" customHeight="1">
      <x:c r="C35" s="3" t="str">
        <x:v>Intangible assets, net</x:v>
      </x:c>
      <x:c r="D35" s="30" t="n">
        <x:v>11298</x:v>
      </x:c>
      <x:c r="E35" s="30" t="n">
        <x:v>9366</x:v>
      </x:c>
      <x:c r="F35" s="30" t="n">
        <x:v>27597</x:v>
      </x:c>
      <x:c r="G35" s="30" t="n">
        <x:v>22604</x:v>
      </x:c>
      <x:c r="H35" s="30" t="n">
        <x:v>18609</x:v>
      </x:c>
      <x:c r="I35" s="13"/>
      <x:c r="J35" s="13"/>
      <x:c r="K35" s="13"/>
      <x:c r="L35" s="13"/>
      <x:c r="M35" s="13"/>
      <x:c r="N35" s="3"/>
      <x:c r="O35" s="3"/>
      <x:c r="P35" s="3"/>
      <x:c r="Q35" s="3"/>
    </x:row>
    <x:row r="36" ht="20" customHeight="1">
      <x:c r="C36" s="3" t="str">
        <x:v>Other long-term assets</x:v>
      </x:c>
      <x:c r="D36" s="30" t="n">
        <x:v>21897</x:v>
      </x:c>
      <x:c r="E36" s="30" t="n">
        <x:v>30601</x:v>
      </x:c>
      <x:c r="F36" s="30" t="n">
        <x:v>36460</x:v>
      </x:c>
      <x:c r="G36" s="30" t="n">
        <x:v>40565</x:v>
      </x:c>
      <x:c r="H36" s="30" t="n">
        <x:v>38805</x:v>
      </x:c>
      <x:c r="I36" s="13"/>
      <x:c r="J36" s="13"/>
      <x:c r="K36" s="13"/>
      <x:c r="L36" s="13"/>
      <x:c r="M36" s="13"/>
      <x:c r="N36" s="3"/>
      <x:c r="O36" s="3"/>
      <x:c r="P36" s="3"/>
      <x:c r="Q36" s="3"/>
    </x:row>
    <x:row r="37" ht="20" customHeight="1">
      <x:c r="C37" s="20" t="str">
        <x:v>Total assets</x:v>
      </x:c>
      <x:c r="D37" s="32" t="n">
        <x:v>364840</x:v>
      </x:c>
      <x:c r="E37" s="32" t="n">
        <x:v>411976</x:v>
      </x:c>
      <x:c r="F37" s="32" t="n">
        <x:v>512163</x:v>
      </x:c>
      <x:c r="G37" s="32" t="n">
        <x:v>619003</x:v>
      </x:c>
      <x:c r="H37" s="32" t="n">
        <x:v>758376</x:v>
      </x:c>
      <x:c r="I37" s="22"/>
      <x:c r="J37" s="22"/>
      <x:c r="K37" s="22"/>
      <x:c r="L37" s="22"/>
      <x:c r="M37" s="22"/>
      <x:c r="N37" s="3"/>
      <x:c r="O37" s="3"/>
      <x:c r="P37" s="3"/>
      <x:c r="Q37" s="3"/>
    </x:row>
    <x:row r="38" ht="20" customHeight="1">
      <x:c r="C38" s="3"/>
      <x:c r="D38" s="30"/>
      <x:c r="E38" s="30"/>
      <x:c r="F38" s="30"/>
      <x:c r="G38" s="30"/>
      <x:c r="H38" s="30"/>
      <x:c r="I38" s="13"/>
      <x:c r="J38" s="13"/>
      <x:c r="K38" s="13"/>
      <x:c r="L38" s="13"/>
      <x:c r="M38" s="13"/>
      <x:c r="N38" s="3"/>
      <x:c r="O38" s="3"/>
      <x:c r="P38" s="3"/>
      <x:c r="Q38" s="3"/>
    </x:row>
    <x:row r="39" ht="20" customHeight="1">
      <x:c r="C39" s="3" t="str">
        <x:v>Accounts payable (trade and capex)</x:v>
      </x:c>
      <x:c r="D39" s="30" t="n">
        <x:v>19000</x:v>
      </x:c>
      <x:c r="E39" s="30" t="n">
        <x:v>18095</x:v>
      </x:c>
      <x:c r="F39" s="30" t="n">
        <x:v>21996</x:v>
      </x:c>
      <x:c r="G39" s="30" t="n">
        <x:v>27724</x:v>
      </x:c>
      <x:c r="H39" s="30" t="n">
        <x:v>42416</x:v>
      </x:c>
      <x:c r="I39" s="13"/>
      <x:c r="J39" s="13"/>
      <x:c r="K39" s="13"/>
      <x:c r="L39" s="13"/>
      <x:c r="M39" s="13"/>
      <x:c r="N39" s="3"/>
      <x:c r="O39" s="36" t="str">
        <x:v>Source: newest annual-report comparative, FY2022–FY2026. https://www.microsoft.com/investor/reports/ar26/index.html</x:v>
      </x:c>
      <x:c r="P39" s="3"/>
      <x:c r="Q39" s="3"/>
    </x:row>
    <x:row r="40" ht="20" customHeight="1">
      <x:c r="C40" s="3" t="str">
        <x:v>Accrued compensation</x:v>
      </x:c>
      <x:c r="D40" s="30" t="n">
        <x:v>10661</x:v>
      </x:c>
      <x:c r="E40" s="30" t="n">
        <x:v>11009</x:v>
      </x:c>
      <x:c r="F40" s="30" t="n">
        <x:v>12564</x:v>
      </x:c>
      <x:c r="G40" s="30" t="n">
        <x:v>13709</x:v>
      </x:c>
      <x:c r="H40" s="30" t="n">
        <x:v>14945</x:v>
      </x:c>
      <x:c r="I40" s="13"/>
      <x:c r="J40" s="13"/>
      <x:c r="K40" s="13"/>
      <x:c r="L40" s="13"/>
      <x:c r="M40" s="13"/>
      <x:c r="N40" s="3"/>
      <x:c r="O40" s="3"/>
      <x:c r="P40" s="3"/>
      <x:c r="Q40" s="3"/>
    </x:row>
    <x:row r="41" ht="20" customHeight="1">
      <x:c r="C41" s="3" t="str">
        <x:v>Current income taxes payable</x:v>
      </x:c>
      <x:c r="D41" s="30" t="n">
        <x:v>4067</x:v>
      </x:c>
      <x:c r="E41" s="30" t="n">
        <x:v>4152</x:v>
      </x:c>
      <x:c r="F41" s="30" t="n">
        <x:v>5017</x:v>
      </x:c>
      <x:c r="G41" s="30" t="n">
        <x:v>7211</x:v>
      </x:c>
      <x:c r="H41" s="30" t="n">
        <x:v>2534</x:v>
      </x:c>
      <x:c r="I41" s="13"/>
      <x:c r="J41" s="13"/>
      <x:c r="K41" s="13"/>
      <x:c r="L41" s="13"/>
      <x:c r="M41" s="13"/>
      <x:c r="N41" s="3"/>
      <x:c r="O41" s="3"/>
      <x:c r="P41" s="3"/>
      <x:c r="Q41" s="3"/>
    </x:row>
    <x:row r="42" ht="20" customHeight="1">
      <x:c r="C42" s="3" t="str">
        <x:v>Current deferred revenue</x:v>
      </x:c>
      <x:c r="D42" s="30" t="n">
        <x:v>45538</x:v>
      </x:c>
      <x:c r="E42" s="30" t="n">
        <x:v>50901</x:v>
      </x:c>
      <x:c r="F42" s="30" t="n">
        <x:v>57582</x:v>
      </x:c>
      <x:c r="G42" s="30" t="n">
        <x:v>64555</x:v>
      </x:c>
      <x:c r="H42" s="30" t="n">
        <x:v>72965</x:v>
      </x:c>
      <x:c r="I42" s="13"/>
      <x:c r="J42" s="13"/>
      <x:c r="K42" s="13"/>
      <x:c r="L42" s="13"/>
      <x:c r="M42" s="13"/>
      <x:c r="N42" s="3"/>
      <x:c r="O42" s="3"/>
      <x:c r="P42" s="3"/>
      <x:c r="Q42" s="3"/>
    </x:row>
    <x:row r="43" ht="20" customHeight="1">
      <x:c r="C43" s="3" t="str">
        <x:v>Other current liabilities, ex finance leases</x:v>
      </x:c>
      <x:c r="D43" s="30" t="n">
        <x:v>12007</x:v>
      </x:c>
      <x:c r="E43" s="30" t="n">
        <x:v>13548</x:v>
      </x:c>
      <x:c r="F43" s="30" t="n">
        <x:v>16836</x:v>
      </x:c>
      <x:c r="G43" s="30" t="n">
        <x:v>21848</x:v>
      </x:c>
      <x:c r="H43" s="30" t="n">
        <x:v>22448</x:v>
      </x:c>
      <x:c r="I43" s="13"/>
      <x:c r="J43" s="13"/>
      <x:c r="K43" s="13"/>
      <x:c r="L43" s="13"/>
      <x:c r="M43" s="13"/>
      <x:c r="N43" s="3"/>
      <x:c r="O43" s="36" t="str">
        <x:v>Reclassified: reported other current liabilities less current finance lease liabilities (lease note).</x:v>
      </x:c>
      <x:c r="P43" s="3"/>
      <x:c r="Q43" s="3"/>
    </x:row>
    <x:row r="44" ht="20" customHeight="1">
      <x:c r="C44" s="3" t="str">
        <x:v>Current finance lease liability</x:v>
      </x:c>
      <x:c r="D44" s="30" t="n">
        <x:v>1060</x:v>
      </x:c>
      <x:c r="E44" s="30" t="n">
        <x:v>1197</x:v>
      </x:c>
      <x:c r="F44" s="30" t="n">
        <x:v>2349</x:v>
      </x:c>
      <x:c r="G44" s="30" t="n">
        <x:v>3172</x:v>
      </x:c>
      <x:c r="H44" s="30" t="n">
        <x:v>4290</x:v>
      </x:c>
      <x:c r="I44" s="13"/>
      <x:c r="J44" s="13"/>
      <x:c r="K44" s="13"/>
      <x:c r="L44" s="13"/>
      <x:c r="M44" s="13"/>
      <x:c r="N44" s="3"/>
      <x:c r="O44" s="3"/>
      <x:c r="P44" s="3"/>
      <x:c r="Q44" s="3"/>
    </x:row>
    <x:row r="45" ht="20" customHeight="1">
      <x:c r="C45" s="3" t="str">
        <x:v>Current corporate debt</x:v>
      </x:c>
      <x:c r="D45" s="30" t="n">
        <x:v>2749</x:v>
      </x:c>
      <x:c r="E45" s="30" t="n">
        <x:v>5247</x:v>
      </x:c>
      <x:c r="F45" s="30" t="n">
        <x:v>2249</x:v>
      </x:c>
      <x:c r="G45" s="30" t="n">
        <x:v>2999</x:v>
      </x:c>
      <x:c r="H45" s="30" t="n">
        <x:v>9227</x:v>
      </x:c>
      <x:c r="I45" s="13"/>
      <x:c r="J45" s="13"/>
      <x:c r="K45" s="13"/>
      <x:c r="L45" s="13"/>
      <x:c r="M45" s="13"/>
      <x:c r="N45" s="3"/>
      <x:c r="O45" s="3"/>
      <x:c r="P45" s="3"/>
      <x:c r="Q45" s="3"/>
    </x:row>
    <x:row r="46" ht="20" customHeight="1">
      <x:c r="C46" s="20" t="str">
        <x:v>Total current liabilities</x:v>
      </x:c>
      <x:c r="D46" s="32" t="n">
        <x:v>95082</x:v>
      </x:c>
      <x:c r="E46" s="32" t="n">
        <x:v>104149</x:v>
      </x:c>
      <x:c r="F46" s="32" t="n">
        <x:v>125286</x:v>
      </x:c>
      <x:c r="G46" s="32" t="n">
        <x:v>141218</x:v>
      </x:c>
      <x:c r="H46" s="32" t="n">
        <x:v>168825</x:v>
      </x:c>
      <x:c r="I46" s="22"/>
      <x:c r="J46" s="22"/>
      <x:c r="K46" s="22"/>
      <x:c r="L46" s="22"/>
      <x:c r="M46" s="22"/>
      <x:c r="N46" s="3"/>
      <x:c r="O46" s="3"/>
      <x:c r="P46" s="3"/>
      <x:c r="Q46" s="3"/>
    </x:row>
    <x:row r="47" ht="20" customHeight="1">
      <x:c r="C47" s="3" t="str">
        <x:v>Long-term corporate debt</x:v>
      </x:c>
      <x:c r="D47" s="30" t="n">
        <x:v>47032</x:v>
      </x:c>
      <x:c r="E47" s="30" t="n">
        <x:v>41990</x:v>
      </x:c>
      <x:c r="F47" s="30" t="n">
        <x:v>42688</x:v>
      </x:c>
      <x:c r="G47" s="30" t="n">
        <x:v>40152</x:v>
      </x:c>
      <x:c r="H47" s="30" t="n">
        <x:v>31067</x:v>
      </x:c>
      <x:c r="I47" s="13"/>
      <x:c r="J47" s="13"/>
      <x:c r="K47" s="13"/>
      <x:c r="L47" s="13"/>
      <x:c r="M47" s="13"/>
      <x:c r="N47" s="3"/>
      <x:c r="O47" s="3"/>
      <x:c r="P47" s="3"/>
      <x:c r="Q47" s="3"/>
    </x:row>
    <x:row r="48" ht="20" customHeight="1">
      <x:c r="C48" s="3" t="str">
        <x:v>Long-term income tax liabilities</x:v>
      </x:c>
      <x:c r="D48" s="30" t="n">
        <x:v>26069</x:v>
      </x:c>
      <x:c r="E48" s="30" t="n">
        <x:v>25560</x:v>
      </x:c>
      <x:c r="F48" s="30" t="n">
        <x:v>27931</x:v>
      </x:c>
      <x:c r="G48" s="30" t="n">
        <x:v>25986</x:v>
      </x:c>
      <x:c r="H48" s="30" t="n">
        <x:v>28647</x:v>
      </x:c>
      <x:c r="I48" s="13"/>
      <x:c r="J48" s="13"/>
      <x:c r="K48" s="13"/>
      <x:c r="L48" s="13"/>
      <x:c r="M48" s="13"/>
      <x:c r="N48" s="3"/>
      <x:c r="O48" s="3"/>
      <x:c r="P48" s="3"/>
      <x:c r="Q48" s="3"/>
    </x:row>
    <x:row r="49" ht="20" customHeight="1">
      <x:c r="C49" s="3" t="str">
        <x:v>Long-term deferred revenue</x:v>
      </x:c>
      <x:c r="D49" s="30" t="n">
        <x:v>2870</x:v>
      </x:c>
      <x:c r="E49" s="30" t="n">
        <x:v>2912</x:v>
      </x:c>
      <x:c r="F49" s="30" t="n">
        <x:v>2602</x:v>
      </x:c>
      <x:c r="G49" s="30" t="n">
        <x:v>2710</x:v>
      </x:c>
      <x:c r="H49" s="30" t="n">
        <x:v>2747</x:v>
      </x:c>
      <x:c r="I49" s="13"/>
      <x:c r="J49" s="13"/>
      <x:c r="K49" s="13"/>
      <x:c r="L49" s="13"/>
      <x:c r="M49" s="13"/>
      <x:c r="N49" s="3"/>
      <x:c r="O49" s="3"/>
      <x:c r="P49" s="3"/>
      <x:c r="Q49" s="3"/>
    </x:row>
    <x:row r="50" ht="20" customHeight="1">
      <x:c r="C50" s="3" t="str">
        <x:v>Deferred income tax liabilities</x:v>
      </x:c>
      <x:c r="D50" s="30" t="n">
        <x:v>230</x:v>
      </x:c>
      <x:c r="E50" s="30" t="n">
        <x:v>433</x:v>
      </x:c>
      <x:c r="F50" s="30" t="n">
        <x:v>2618</x:v>
      </x:c>
      <x:c r="G50" s="30" t="n">
        <x:v>2835</x:v>
      </x:c>
      <x:c r="H50" s="30" t="n">
        <x:v>3054</x:v>
      </x:c>
      <x:c r="I50" s="13"/>
      <x:c r="J50" s="13"/>
      <x:c r="K50" s="13"/>
      <x:c r="L50" s="13"/>
      <x:c r="M50" s="13"/>
      <x:c r="N50" s="3"/>
      <x:c r="O50" s="3"/>
      <x:c r="P50" s="3"/>
      <x:c r="Q50" s="3"/>
    </x:row>
    <x:row r="51" ht="20" customHeight="1">
      <x:c r="C51" s="3" t="str">
        <x:v>Long-term operating lease liabilities</x:v>
      </x:c>
      <x:c r="D51" s="30" t="n">
        <x:v>11489</x:v>
      </x:c>
      <x:c r="E51" s="30" t="n">
        <x:v>12728</x:v>
      </x:c>
      <x:c r="F51" s="30" t="n">
        <x:v>15497</x:v>
      </x:c>
      <x:c r="G51" s="30" t="n">
        <x:v>17437</x:v>
      </x:c>
      <x:c r="H51" s="30" t="n">
        <x:v>16532</x:v>
      </x:c>
      <x:c r="I51" s="13"/>
      <x:c r="J51" s="13"/>
      <x:c r="K51" s="13"/>
      <x:c r="L51" s="13"/>
      <x:c r="M51" s="13"/>
      <x:c r="N51" s="3"/>
      <x:c r="O51" s="3"/>
      <x:c r="P51" s="3"/>
      <x:c r="Q51" s="3"/>
    </x:row>
    <x:row r="52" ht="20" customHeight="1">
      <x:c r="C52" s="3" t="str">
        <x:v>Other long-term liabilities, ex finance leases</x:v>
      </x:c>
      <x:c r="D52" s="30" t="n">
        <x:v>1684</x:v>
      </x:c>
      <x:c r="E52" s="30" t="n">
        <x:v>2111</x:v>
      </x:c>
      <x:c r="F52" s="30" t="n">
        <x:v>2268</x:v>
      </x:c>
      <x:c r="G52" s="30" t="n">
        <x:v>2186</x:v>
      </x:c>
      <x:c r="H52" s="30" t="n">
        <x:v>2813</x:v>
      </x:c>
      <x:c r="I52" s="13"/>
      <x:c r="J52" s="13"/>
      <x:c r="K52" s="13"/>
      <x:c r="L52" s="13"/>
      <x:c r="M52" s="13"/>
      <x:c r="N52" s="3"/>
      <x:c r="O52" s="36" t="str">
        <x:v>Reclassified: reported other long-term liabilities less long-term finance lease liabilities.</x:v>
      </x:c>
      <x:c r="P52" s="3"/>
      <x:c r="Q52" s="3"/>
    </x:row>
    <x:row r="53" ht="20" customHeight="1">
      <x:c r="C53" s="3" t="str">
        <x:v>Long-term finance lease liabilities</x:v>
      </x:c>
      <x:c r="D53" s="30" t="n">
        <x:v>13842</x:v>
      </x:c>
      <x:c r="E53" s="30" t="n">
        <x:v>15870</x:v>
      </x:c>
      <x:c r="F53" s="30" t="n">
        <x:v>24796</x:v>
      </x:c>
      <x:c r="G53" s="30" t="n">
        <x:v>43000</x:v>
      </x:c>
      <x:c r="H53" s="30" t="n">
        <x:v>62304</x:v>
      </x:c>
      <x:c r="I53" s="13"/>
      <x:c r="J53" s="13"/>
      <x:c r="K53" s="13"/>
      <x:c r="L53" s="13"/>
      <x:c r="M53" s="13"/>
      <x:c r="N53" s="3"/>
      <x:c r="O53" s="3"/>
      <x:c r="P53" s="3"/>
      <x:c r="Q53" s="3"/>
    </x:row>
    <x:row r="54" ht="20" customHeight="1">
      <x:c r="C54" s="20" t="str">
        <x:v>Total liabilities</x:v>
      </x:c>
      <x:c r="D54" s="32" t="n">
        <x:v>198298</x:v>
      </x:c>
      <x:c r="E54" s="32" t="n">
        <x:v>205753</x:v>
      </x:c>
      <x:c r="F54" s="32" t="n">
        <x:v>243686</x:v>
      </x:c>
      <x:c r="G54" s="32" t="n">
        <x:v>275524</x:v>
      </x:c>
      <x:c r="H54" s="32" t="n">
        <x:v>315989</x:v>
      </x:c>
      <x:c r="I54" s="22"/>
      <x:c r="J54" s="22"/>
      <x:c r="K54" s="22"/>
      <x:c r="L54" s="22"/>
      <x:c r="M54" s="22"/>
      <x:c r="N54" s="3"/>
      <x:c r="O54" s="3"/>
      <x:c r="P54" s="3"/>
      <x:c r="Q54" s="3"/>
    </x:row>
    <x:row r="55" ht="20" customHeight="1">
      <x:c r="C55" s="3"/>
      <x:c r="D55" s="30"/>
      <x:c r="E55" s="30"/>
      <x:c r="F55" s="30"/>
      <x:c r="G55" s="30"/>
      <x:c r="H55" s="30"/>
      <x:c r="I55" s="13"/>
      <x:c r="J55" s="13"/>
      <x:c r="K55" s="13"/>
      <x:c r="L55" s="13"/>
      <x:c r="M55" s="13"/>
      <x:c r="N55" s="3"/>
      <x:c r="O55" s="3"/>
      <x:c r="P55" s="3"/>
      <x:c r="Q55" s="3"/>
    </x:row>
    <x:row r="56" ht="20" customHeight="1">
      <x:c r="C56" s="3" t="str">
        <x:v>Common stock and paid-in capital</x:v>
      </x:c>
      <x:c r="D56" s="30" t="n">
        <x:v>86939</x:v>
      </x:c>
      <x:c r="E56" s="30" t="n">
        <x:v>93718</x:v>
      </x:c>
      <x:c r="F56" s="30" t="n">
        <x:v>100923</x:v>
      </x:c>
      <x:c r="G56" s="30" t="n">
        <x:v>109095</x:v>
      </x:c>
      <x:c r="H56" s="30" t="n">
        <x:v>117406</x:v>
      </x:c>
      <x:c r="I56" s="13"/>
      <x:c r="J56" s="13"/>
      <x:c r="K56" s="13"/>
      <x:c r="L56" s="13"/>
      <x:c r="M56" s="13"/>
      <x:c r="N56" s="3"/>
      <x:c r="O56" s="36" t="str">
        <x:v>Source: newest annual-report comparative, FY2022–FY2026. https://www.microsoft.com/investor/reports/ar26/index.html</x:v>
      </x:c>
      <x:c r="P56" s="3"/>
      <x:c r="Q56" s="3"/>
    </x:row>
    <x:row r="57" ht="20" customHeight="1">
      <x:c r="C57" s="3" t="str">
        <x:v>Retained earnings</x:v>
      </x:c>
      <x:c r="D57" s="30" t="n">
        <x:v>84281</x:v>
      </x:c>
      <x:c r="E57" s="30" t="n">
        <x:v>118848</x:v>
      </x:c>
      <x:c r="F57" s="30" t="n">
        <x:v>173144</x:v>
      </x:c>
      <x:c r="G57" s="30" t="n">
        <x:v>237731</x:v>
      </x:c>
      <x:c r="H57" s="30" t="n">
        <x:v>328265</x:v>
      </x:c>
      <x:c r="I57" s="13"/>
      <x:c r="J57" s="13"/>
      <x:c r="K57" s="13"/>
      <x:c r="L57" s="13"/>
      <x:c r="M57" s="13"/>
      <x:c r="N57" s="3"/>
      <x:c r="O57" s="3"/>
      <x:c r="P57" s="3"/>
      <x:c r="Q57" s="3"/>
    </x:row>
    <x:row r="58" ht="20" customHeight="1">
      <x:c r="C58" s="3" t="str">
        <x:v>Accumulated other comprehensive income</x:v>
      </x:c>
      <x:c r="D58" s="30" t="n">
        <x:v>-4678</x:v>
      </x:c>
      <x:c r="E58" s="30" t="n">
        <x:v>-6343</x:v>
      </x:c>
      <x:c r="F58" s="30" t="n">
        <x:v>-5590</x:v>
      </x:c>
      <x:c r="G58" s="30" t="n">
        <x:v>-3347</x:v>
      </x:c>
      <x:c r="H58" s="30" t="n">
        <x:v>-3284</x:v>
      </x:c>
      <x:c r="I58" s="13"/>
      <x:c r="J58" s="13"/>
      <x:c r="K58" s="13"/>
      <x:c r="L58" s="13"/>
      <x:c r="M58" s="13"/>
      <x:c r="N58" s="3"/>
      <x:c r="O58" s="3"/>
      <x:c r="P58" s="3"/>
      <x:c r="Q58" s="3"/>
    </x:row>
    <x:row r="59" ht="20" customHeight="1">
      <x:c r="C59" s="20" t="str">
        <x:v>Total equity</x:v>
      </x:c>
      <x:c r="D59" s="32" t="n">
        <x:v>166542</x:v>
      </x:c>
      <x:c r="E59" s="32" t="n">
        <x:v>206223</x:v>
      </x:c>
      <x:c r="F59" s="32" t="n">
        <x:v>268477</x:v>
      </x:c>
      <x:c r="G59" s="32" t="n">
        <x:v>343479</x:v>
      </x:c>
      <x:c r="H59" s="32" t="n">
        <x:v>442387</x:v>
      </x:c>
      <x:c r="I59" s="22"/>
      <x:c r="J59" s="22"/>
      <x:c r="K59" s="22"/>
      <x:c r="L59" s="22"/>
      <x:c r="M59" s="22"/>
      <x:c r="N59" s="3"/>
      <x:c r="O59" s="3"/>
      <x:c r="P59" s="3"/>
      <x:c r="Q59" s="3"/>
    </x:row>
    <x:row r="60" ht="20" customHeight="1">
      <x:c r="C60" s="20" t="str">
        <x:v>Total liabilities and equity</x:v>
      </x:c>
      <x:c r="D60" s="32" t="n">
        <x:v>364840</x:v>
      </x:c>
      <x:c r="E60" s="32" t="n">
        <x:v>411976</x:v>
      </x:c>
      <x:c r="F60" s="32" t="n">
        <x:v>512163</x:v>
      </x:c>
      <x:c r="G60" s="32" t="n">
        <x:v>619003</x:v>
      </x:c>
      <x:c r="H60" s="32" t="n">
        <x:v>758376</x:v>
      </x:c>
      <x:c r="I60" s="22"/>
      <x:c r="J60" s="22"/>
      <x:c r="K60" s="22"/>
      <x:c r="L60" s="22"/>
      <x:c r="M60" s="22"/>
      <x:c r="N60" s="3"/>
      <x:c r="O60" s="3"/>
      <x:c r="P60" s="3"/>
      <x:c r="Q60" s="3"/>
    </x:row>
    <x:row r="61" ht="20" customHeight="1">
      <x:c r="C61" s="3"/>
      <x:c r="D61" s="30"/>
      <x:c r="E61" s="30"/>
      <x:c r="F61" s="30"/>
      <x:c r="G61" s="30"/>
      <x:c r="H61" s="30"/>
      <x:c r="I61" s="13"/>
      <x:c r="J61" s="13"/>
      <x:c r="K61" s="13"/>
      <x:c r="L61" s="13"/>
      <x:c r="M61" s="13"/>
      <x:c r="N61" s="3"/>
      <x:c r="O61" s="3"/>
      <x:c r="P61" s="3"/>
      <x:c r="Q61" s="3"/>
    </x:row>
    <x:row r="62" ht="23" customHeight="1">
      <x:c r="C62" s="10" t="str">
        <x:v>CASH FLOW STATEMENT</x:v>
      </x:c>
      <x:c r="D62" s="31"/>
      <x:c r="E62" s="31"/>
      <x:c r="F62" s="31"/>
      <x:c r="G62" s="31"/>
      <x:c r="H62" s="31"/>
      <x:c r="I62" s="16"/>
      <x:c r="J62" s="16"/>
      <x:c r="K62" s="16"/>
      <x:c r="L62" s="16"/>
      <x:c r="M62" s="16"/>
      <x:c r="N62" s="3"/>
      <x:c r="O62" s="3"/>
      <x:c r="P62" s="3"/>
      <x:c r="Q62" s="3"/>
    </x:row>
    <x:row r="63" ht="20" customHeight="1">
      <x:c r="C63" s="3" t="str">
        <x:v>Net income</x:v>
      </x:c>
      <x:c r="D63" s="30" t="n">
        <x:v>72738</x:v>
      </x:c>
      <x:c r="E63" s="30" t="n">
        <x:v>72361</x:v>
      </x:c>
      <x:c r="F63" s="30" t="n">
        <x:v>88136</x:v>
      </x:c>
      <x:c r="G63" s="30" t="n">
        <x:v>101832</x:v>
      </x:c>
      <x:c r="H63" s="30" t="n">
        <x:v>133749</x:v>
      </x:c>
      <x:c r="I63" s="13"/>
      <x:c r="J63" s="13"/>
      <x:c r="K63" s="13"/>
      <x:c r="L63" s="13"/>
      <x:c r="M63" s="13"/>
      <x:c r="N63" s="3"/>
      <x:c r="O63" s="36" t="str">
        <x:v>Source: newest annual-report comparative, FY2022–FY2026. https://www.microsoft.com/investor/reports/ar26/index.html</x:v>
      </x:c>
      <x:c r="P63" s="3"/>
      <x:c r="Q63" s="3"/>
    </x:row>
    <x:row r="64" ht="20" customHeight="1">
      <x:c r="C64" s="3" t="str">
        <x:v>D&amp;A and other (A) / D&amp;A (F)</x:v>
      </x:c>
      <x:c r="D64" s="30" t="n">
        <x:v>14460</x:v>
      </x:c>
      <x:c r="E64" s="30" t="n">
        <x:v>13861</x:v>
      </x:c>
      <x:c r="F64" s="30" t="n">
        <x:v>20958</x:v>
      </x:c>
      <x:c r="G64" s="30" t="n">
        <x:v>29433</x:v>
      </x:c>
      <x:c r="H64" s="30" t="n">
        <x:v>38534</x:v>
      </x:c>
      <x:c r="I64" s="13"/>
      <x:c r="J64" s="13"/>
      <x:c r="K64" s="13"/>
      <x:c r="L64" s="13"/>
      <x:c r="M64" s="13"/>
      <x:c r="N64" s="3"/>
      <x:c r="O64" s="3"/>
      <x:c r="P64" s="3"/>
      <x:c r="Q64" s="3"/>
    </x:row>
    <x:row r="65" ht="20" customHeight="1">
      <x:c r="C65" s="3" t="str">
        <x:v>Stock-based compensation</x:v>
      </x:c>
      <x:c r="D65" s="30" t="n">
        <x:v>7502</x:v>
      </x:c>
      <x:c r="E65" s="30" t="n">
        <x:v>9611</x:v>
      </x:c>
      <x:c r="F65" s="30" t="n">
        <x:v>10734</x:v>
      </x:c>
      <x:c r="G65" s="30" t="n">
        <x:v>11974</x:v>
      </x:c>
      <x:c r="H65" s="30" t="n">
        <x:v>12405</x:v>
      </x:c>
      <x:c r="I65" s="13"/>
      <x:c r="J65" s="13"/>
      <x:c r="K65" s="13"/>
      <x:c r="L65" s="13"/>
      <x:c r="M65" s="13"/>
      <x:c r="N65" s="3"/>
      <x:c r="O65" s="3"/>
      <x:c r="P65" s="3"/>
      <x:c r="Q65" s="3"/>
    </x:row>
    <x:row r="66" ht="20" customHeight="1">
      <x:c r="C66" s="3" t="str">
        <x:v>Deferred tax adjustment</x:v>
      </x:c>
      <x:c r="D66" s="30" t="n">
        <x:v>-5702</x:v>
      </x:c>
      <x:c r="E66" s="30" t="n">
        <x:v>-6059</x:v>
      </x:c>
      <x:c r="F66" s="30" t="n">
        <x:v>-4738</x:v>
      </x:c>
      <x:c r="G66" s="30" t="n">
        <x:v>-7056</x:v>
      </x:c>
      <x:c r="H66" s="30" t="n">
        <x:v>14189</x:v>
      </x:c>
      <x:c r="I66" s="13"/>
      <x:c r="J66" s="13"/>
      <x:c r="K66" s="13"/>
      <x:c r="L66" s="13"/>
      <x:c r="M66" s="13"/>
      <x:c r="N66" s="3"/>
      <x:c r="O66" s="3"/>
      <x:c r="P66" s="3"/>
      <x:c r="Q66" s="3"/>
    </x:row>
    <x:row r="67" ht="20" customHeight="1">
      <x:c r="C67" s="3" t="str">
        <x:v>Other noncash adjustments / ROU amortization</x:v>
      </x:c>
      <x:c r="D67" s="30" t="n">
        <x:v>-409</x:v>
      </x:c>
      <x:c r="E67" s="30" t="n">
        <x:v>196</x:v>
      </x:c>
      <x:c r="F67" s="30" t="n">
        <x:v>1634</x:v>
      </x:c>
      <x:c r="G67" s="30" t="n">
        <x:v>5329</x:v>
      </x:c>
      <x:c r="H67" s="30" t="n">
        <x:v>-11047</x:v>
      </x:c>
      <x:c r="I67" s="13"/>
      <x:c r="J67" s="13"/>
      <x:c r="K67" s="13"/>
      <x:c r="L67" s="13"/>
      <x:c r="M67" s="13"/>
      <x:c r="N67" s="3"/>
      <x:c r="O67" s="3"/>
      <x:c r="P67" s="3"/>
      <x:c r="Q67" s="3"/>
    </x:row>
    <x:row r="68" ht="20" customHeight="1">
      <x:c r="C68" s="3" t="str">
        <x:v>Change in accounts receivable</x:v>
      </x:c>
      <x:c r="D68" s="30" t="n">
        <x:v>-6834</x:v>
      </x:c>
      <x:c r="E68" s="30" t="n">
        <x:v>-4087</x:v>
      </x:c>
      <x:c r="F68" s="30" t="n">
        <x:v>-7191</x:v>
      </x:c>
      <x:c r="G68" s="30" t="n">
        <x:v>-10581</x:v>
      </x:c>
      <x:c r="H68" s="30" t="n">
        <x:v>-12737</x:v>
      </x:c>
      <x:c r="I68" s="13"/>
      <x:c r="J68" s="13"/>
      <x:c r="K68" s="13"/>
      <x:c r="L68" s="13"/>
      <x:c r="M68" s="13"/>
      <x:c r="N68" s="3"/>
      <x:c r="O68" s="3"/>
      <x:c r="P68" s="3"/>
      <x:c r="Q68" s="3"/>
    </x:row>
    <x:row r="69" ht="20" customHeight="1">
      <x:c r="C69" s="3" t="str">
        <x:v>Change in inventories</x:v>
      </x:c>
      <x:c r="D69" s="30" t="n">
        <x:v>-1123</x:v>
      </x:c>
      <x:c r="E69" s="30" t="n">
        <x:v>1242</x:v>
      </x:c>
      <x:c r="F69" s="30" t="n">
        <x:v>1284</x:v>
      </x:c>
      <x:c r="G69" s="30" t="n">
        <x:v>309</x:v>
      </x:c>
      <x:c r="H69" s="30" t="n">
        <x:v>-461</x:v>
      </x:c>
      <x:c r="I69" s="13"/>
      <x:c r="J69" s="13"/>
      <x:c r="K69" s="13"/>
      <x:c r="L69" s="13"/>
      <x:c r="M69" s="13"/>
      <x:c r="N69" s="3"/>
      <x:c r="O69" s="3"/>
      <x:c r="P69" s="3"/>
      <x:c r="Q69" s="3"/>
    </x:row>
    <x:row r="70" ht="20" customHeight="1">
      <x:c r="C70" s="3" t="str">
        <x:v>Change in other current assets</x:v>
      </x:c>
      <x:c r="D70" s="30" t="n">
        <x:v>-709</x:v>
      </x:c>
      <x:c r="E70" s="30" t="n">
        <x:v>-1991</x:v>
      </x:c>
      <x:c r="F70" s="30" t="n">
        <x:v>-1648</x:v>
      </x:c>
      <x:c r="G70" s="30" t="n">
        <x:v>-3044</x:v>
      </x:c>
      <x:c r="H70" s="30" t="n">
        <x:v>-2627</x:v>
      </x:c>
      <x:c r="I70" s="13"/>
      <x:c r="J70" s="13"/>
      <x:c r="K70" s="13"/>
      <x:c r="L70" s="13"/>
      <x:c r="M70" s="13"/>
      <x:c r="N70" s="3"/>
      <x:c r="O70" s="3"/>
      <x:c r="P70" s="3"/>
      <x:c r="Q70" s="3"/>
    </x:row>
    <x:row r="71" ht="20" customHeight="1">
      <x:c r="C71" s="3" t="str">
        <x:v>Change in other long-term assets</x:v>
      </x:c>
      <x:c r="D71" s="30" t="n">
        <x:v>-2805</x:v>
      </x:c>
      <x:c r="E71" s="30" t="n">
        <x:v>-2833</x:v>
      </x:c>
      <x:c r="F71" s="30" t="n">
        <x:v>-6817</x:v>
      </x:c>
      <x:c r="G71" s="30" t="n">
        <x:v>-2950</x:v>
      </x:c>
      <x:c r="H71" s="30" t="n">
        <x:v>-3964</x:v>
      </x:c>
      <x:c r="I71" s="13"/>
      <x:c r="J71" s="13"/>
      <x:c r="K71" s="13"/>
      <x:c r="L71" s="13"/>
      <x:c r="M71" s="13"/>
      <x:c r="N71" s="3"/>
      <x:c r="O71" s="3"/>
      <x:c r="P71" s="3"/>
      <x:c r="Q71" s="3"/>
    </x:row>
    <x:row r="72" ht="20" customHeight="1">
      <x:c r="C72" s="3" t="str">
        <x:v>Change in trade accounts payable</x:v>
      </x:c>
      <x:c r="D72" s="30" t="n">
        <x:v>2943</x:v>
      </x:c>
      <x:c r="E72" s="30" t="n">
        <x:v>-2721</x:v>
      </x:c>
      <x:c r="F72" s="30" t="n">
        <x:v>3545</x:v>
      </x:c>
      <x:c r="G72" s="30" t="n">
        <x:v>569</x:v>
      </x:c>
      <x:c r="H72" s="30" t="n">
        <x:v>5268</x:v>
      </x:c>
      <x:c r="I72" s="13"/>
      <x:c r="J72" s="13"/>
      <x:c r="K72" s="13"/>
      <x:c r="L72" s="13"/>
      <x:c r="M72" s="13"/>
      <x:c r="N72" s="3"/>
      <x:c r="O72" s="3"/>
      <x:c r="P72" s="3"/>
      <x:c r="Q72" s="3"/>
    </x:row>
    <x:row r="73" ht="20" customHeight="1">
      <x:c r="C73" s="3" t="str">
        <x:v>Change in deferred revenue</x:v>
      </x:c>
      <x:c r="D73" s="30" t="n">
        <x:v>5109</x:v>
      </x:c>
      <x:c r="E73" s="30" t="n">
        <x:v>5535</x:v>
      </x:c>
      <x:c r="F73" s="30" t="n">
        <x:v>5348</x:v>
      </x:c>
      <x:c r="G73" s="30" t="n">
        <x:v>5438</x:v>
      </x:c>
      <x:c r="H73" s="30" t="n">
        <x:v>9361</x:v>
      </x:c>
      <x:c r="I73" s="13"/>
      <x:c r="J73" s="13"/>
      <x:c r="K73" s="13"/>
      <x:c r="L73" s="13"/>
      <x:c r="M73" s="13"/>
      <x:c r="N73" s="3"/>
      <x:c r="O73" s="3"/>
      <x:c r="P73" s="3"/>
      <x:c r="Q73" s="3"/>
    </x:row>
    <x:row r="74" ht="20" customHeight="1">
      <x:c r="C74" s="3" t="str">
        <x:v>Change in compensation and other accruals</x:v>
      </x:c>
      <x:c r="D74" s="30" t="n">
        <x:v>2344</x:v>
      </x:c>
      <x:c r="E74" s="30" t="n">
        <x:v>2272</x:v>
      </x:c>
      <x:c r="F74" s="30" t="n">
        <x:v>4867</x:v>
      </x:c>
      <x:c r="G74" s="30" t="n">
        <x:v>5922</x:v>
      </x:c>
      <x:c r="H74" s="30" t="n">
        <x:v>6847</x:v>
      </x:c>
      <x:c r="I74" s="13"/>
      <x:c r="J74" s="13"/>
      <x:c r="K74" s="13"/>
      <x:c r="L74" s="13"/>
      <x:c r="M74" s="13"/>
      <x:c r="N74" s="3"/>
      <x:c r="O74" s="3"/>
      <x:c r="P74" s="3"/>
      <x:c r="Q74" s="3"/>
    </x:row>
    <x:row r="75" ht="20" customHeight="1">
      <x:c r="C75" s="3" t="str">
        <x:v>Change in income tax liabilities</x:v>
      </x:c>
      <x:c r="D75" s="30" t="n">
        <x:v>696</x:v>
      </x:c>
      <x:c r="E75" s="30" t="n">
        <x:v>-358</x:v>
      </x:c>
      <x:c r="F75" s="30" t="n">
        <x:v>1687</x:v>
      </x:c>
      <x:c r="G75" s="30" t="n">
        <x:v>-38</x:v>
      </x:c>
      <x:c r="H75" s="30" t="n">
        <x:v>-1875</x:v>
      </x:c>
      <x:c r="I75" s="13"/>
      <x:c r="J75" s="13"/>
      <x:c r="K75" s="13"/>
      <x:c r="L75" s="13"/>
      <x:c r="M75" s="13"/>
      <x:c r="N75" s="3"/>
      <x:c r="O75" s="3"/>
      <x:c r="P75" s="3"/>
      <x:c r="Q75" s="3"/>
    </x:row>
    <x:row r="76" ht="20" customHeight="1">
      <x:c r="C76" s="3" t="str">
        <x:v>Other liabilities and operating lease principal</x:v>
      </x:c>
      <x:c r="D76" s="30" t="n">
        <x:v>825</x:v>
      </x:c>
      <x:c r="E76" s="30" t="n">
        <x:v>553</x:v>
      </x:c>
      <x:c r="F76" s="30" t="n">
        <x:v>749</x:v>
      </x:c>
      <x:c r="G76" s="30" t="n">
        <x:v>-975</x:v>
      </x:c>
      <x:c r="H76" s="30" t="n">
        <x:v>-4707</x:v>
      </x:c>
      <x:c r="I76" s="13"/>
      <x:c r="J76" s="13"/>
      <x:c r="K76" s="13"/>
      <x:c r="L76" s="13"/>
      <x:c r="M76" s="13"/>
      <x:c r="N76" s="3"/>
      <x:c r="O76" s="3"/>
      <x:c r="P76" s="3"/>
      <x:c r="Q76" s="3"/>
    </x:row>
    <x:row r="77" ht="20" customHeight="1">
      <x:c r="C77" s="20" t="str">
        <x:v>Cash from operations</x:v>
      </x:c>
      <x:c r="D77" s="32" t="n">
        <x:v>89035</x:v>
      </x:c>
      <x:c r="E77" s="32" t="n">
        <x:v>87582</x:v>
      </x:c>
      <x:c r="F77" s="32" t="n">
        <x:v>118548</x:v>
      </x:c>
      <x:c r="G77" s="32" t="n">
        <x:v>136162</x:v>
      </x:c>
      <x:c r="H77" s="32" t="n">
        <x:v>182935</x:v>
      </x:c>
      <x:c r="I77" s="22"/>
      <x:c r="J77" s="22"/>
      <x:c r="K77" s="22"/>
      <x:c r="L77" s="22"/>
      <x:c r="M77" s="22"/>
      <x:c r="N77" s="3"/>
      <x:c r="O77" s="3"/>
      <x:c r="P77" s="3"/>
      <x:c r="Q77" s="3"/>
    </x:row>
    <x:row r="78" ht="20" customHeight="1">
      <x:c r="C78" s="3"/>
      <x:c r="D78" s="30"/>
      <x:c r="E78" s="30"/>
      <x:c r="F78" s="30"/>
      <x:c r="G78" s="30"/>
      <x:c r="H78" s="30"/>
      <x:c r="I78" s="13"/>
      <x:c r="J78" s="13"/>
      <x:c r="K78" s="13"/>
      <x:c r="L78" s="13"/>
      <x:c r="M78" s="13"/>
      <x:c r="N78" s="3"/>
      <x:c r="O78" s="3"/>
      <x:c r="P78" s="3"/>
      <x:c r="Q78" s="3"/>
    </x:row>
    <x:row r="79" ht="20" customHeight="1">
      <x:c r="C79" s="3" t="str">
        <x:v>Cash capital expenditure</x:v>
      </x:c>
      <x:c r="D79" s="30" t="n">
        <x:v>-23886</x:v>
      </x:c>
      <x:c r="E79" s="30" t="n">
        <x:v>-28107</x:v>
      </x:c>
      <x:c r="F79" s="30" t="n">
        <x:v>-44477</x:v>
      </x:c>
      <x:c r="G79" s="30" t="n">
        <x:v>-64551</x:v>
      </x:c>
      <x:c r="H79" s="30" t="n">
        <x:v>-115948</x:v>
      </x:c>
      <x:c r="I79" s="13"/>
      <x:c r="J79" s="13"/>
      <x:c r="K79" s="13"/>
      <x:c r="L79" s="13"/>
      <x:c r="M79" s="13"/>
      <x:c r="N79" s="3"/>
      <x:c r="O79" s="36" t="str">
        <x:v>Source: newest annual-report comparative, FY2022–FY2026. https://www.microsoft.com/investor/reports/ar26/index.html</x:v>
      </x:c>
      <x:c r="P79" s="3"/>
      <x:c r="Q79" s="3"/>
    </x:row>
    <x:row r="80" ht="20" customHeight="1">
      <x:c r="C80" s="3" t="str">
        <x:v>Acquisitions and intangible purchases</x:v>
      </x:c>
      <x:c r="D80" s="30" t="n">
        <x:v>-22038</x:v>
      </x:c>
      <x:c r="E80" s="30" t="n">
        <x:v>-1670</x:v>
      </x:c>
      <x:c r="F80" s="30" t="n">
        <x:v>-69132</x:v>
      </x:c>
      <x:c r="G80" s="30" t="n">
        <x:v>-5978</x:v>
      </x:c>
      <x:c r="H80" s="30" t="n">
        <x:v>-1743</x:v>
      </x:c>
      <x:c r="I80" s="13"/>
      <x:c r="J80" s="13"/>
      <x:c r="K80" s="13"/>
      <x:c r="L80" s="13"/>
      <x:c r="M80" s="13"/>
      <x:c r="N80" s="3"/>
      <x:c r="O80" s="3"/>
      <x:c r="P80" s="3"/>
      <x:c r="Q80" s="3"/>
    </x:row>
    <x:row r="81" ht="20" customHeight="1">
      <x:c r="C81" s="3" t="str">
        <x:v>Net investment purchases / proceeds</x:v>
      </x:c>
      <x:c r="D81" s="30" t="n">
        <x:v>18438</x:v>
      </x:c>
      <x:c r="E81" s="30" t="n">
        <x:v>10213</x:v>
      </x:c>
      <x:c r="F81" s="30" t="n">
        <x:v>17937</x:v>
      </x:c>
      <x:c r="G81" s="30" t="n">
        <x:v>-4387</x:v>
      </x:c>
      <x:c r="H81" s="30" t="n">
        <x:v>-1948</x:v>
      </x:c>
      <x:c r="I81" s="13"/>
      <x:c r="J81" s="13"/>
      <x:c r="K81" s="13"/>
      <x:c r="L81" s="13"/>
      <x:c r="M81" s="13"/>
      <x:c r="N81" s="3"/>
      <x:c r="O81" s="3"/>
      <x:c r="P81" s="3"/>
      <x:c r="Q81" s="3"/>
    </x:row>
    <x:row r="82" ht="20" customHeight="1">
      <x:c r="C82" s="3" t="str">
        <x:v>Other investing cash flow</x:v>
      </x:c>
      <x:c r="D82" s="30" t="n">
        <x:v>-2825</x:v>
      </x:c>
      <x:c r="E82" s="30" t="n">
        <x:v>-3116</x:v>
      </x:c>
      <x:c r="F82" s="30" t="n">
        <x:v>-1298</x:v>
      </x:c>
      <x:c r="G82" s="30" t="n">
        <x:v>2317</x:v>
      </x:c>
      <x:c r="H82" s="30" t="n">
        <x:v>-19861</x:v>
      </x:c>
      <x:c r="I82" s="13"/>
      <x:c r="J82" s="13"/>
      <x:c r="K82" s="13"/>
      <x:c r="L82" s="13"/>
      <x:c r="M82" s="13"/>
      <x:c r="N82" s="3"/>
      <x:c r="O82" s="3"/>
      <x:c r="P82" s="3"/>
      <x:c r="Q82" s="3"/>
    </x:row>
    <x:row r="83" ht="20" customHeight="1">
      <x:c r="C83" s="20" t="str">
        <x:v>Cash from investing</x:v>
      </x:c>
      <x:c r="D83" s="32" t="n">
        <x:v>-30311</x:v>
      </x:c>
      <x:c r="E83" s="32" t="n">
        <x:v>-22680</x:v>
      </x:c>
      <x:c r="F83" s="32" t="n">
        <x:v>-96970</x:v>
      </x:c>
      <x:c r="G83" s="32" t="n">
        <x:v>-72599</x:v>
      </x:c>
      <x:c r="H83" s="32" t="n">
        <x:v>-139500</x:v>
      </x:c>
      <x:c r="I83" s="22"/>
      <x:c r="J83" s="22"/>
      <x:c r="K83" s="22"/>
      <x:c r="L83" s="22"/>
      <x:c r="M83" s="22"/>
      <x:c r="N83" s="3"/>
      <x:c r="O83" s="3"/>
      <x:c r="P83" s="3"/>
      <x:c r="Q83" s="3"/>
    </x:row>
    <x:row r="84" ht="20" customHeight="1">
      <x:c r="C84" s="3"/>
      <x:c r="D84" s="30"/>
      <x:c r="E84" s="30"/>
      <x:c r="F84" s="30"/>
      <x:c r="G84" s="30"/>
      <x:c r="H84" s="30"/>
      <x:c r="I84" s="13"/>
      <x:c r="J84" s="13"/>
      <x:c r="K84" s="13"/>
      <x:c r="L84" s="13"/>
      <x:c r="M84" s="13"/>
      <x:c r="N84" s="3"/>
      <x:c r="O84" s="3"/>
      <x:c r="P84" s="3"/>
      <x:c r="Q84" s="3"/>
    </x:row>
    <x:row r="85" ht="20" customHeight="1">
      <x:c r="C85" s="3" t="str">
        <x:v>Corporate debt issued</x:v>
      </x:c>
      <x:c r="D85" s="30" t="n">
        <x:v>0</x:v>
      </x:c>
      <x:c r="E85" s="30" t="n">
        <x:v>0</x:v>
      </x:c>
      <x:c r="F85" s="30" t="n">
        <x:v>29645</x:v>
      </x:c>
      <x:c r="G85" s="30" t="n">
        <x:v>-5746</x:v>
      </x:c>
      <x:c r="H85" s="30" t="n">
        <x:v>0</x:v>
      </x:c>
      <x:c r="I85" s="13"/>
      <x:c r="J85" s="13"/>
      <x:c r="K85" s="13"/>
      <x:c r="L85" s="13"/>
      <x:c r="M85" s="13"/>
      <x:c r="N85" s="3"/>
      <x:c r="O85" s="36" t="str">
        <x:v>Source: newest annual-report comparative, FY2022–FY2026. https://www.microsoft.com/investor/reports/ar26/index.html</x:v>
      </x:c>
      <x:c r="P85" s="3"/>
      <x:c r="Q85" s="3"/>
    </x:row>
    <x:row r="86" ht="20" customHeight="1">
      <x:c r="C86" s="3" t="str">
        <x:v>Corporate debt repaid</x:v>
      </x:c>
      <x:c r="D86" s="30" t="n">
        <x:v>-9023</x:v>
      </x:c>
      <x:c r="E86" s="30" t="n">
        <x:v>-2750</x:v>
      </x:c>
      <x:c r="F86" s="30" t="n">
        <x:v>-29070</x:v>
      </x:c>
      <x:c r="G86" s="30" t="n">
        <x:v>-3216</x:v>
      </x:c>
      <x:c r="H86" s="30" t="n">
        <x:v>-3000</x:v>
      </x:c>
      <x:c r="I86" s="13"/>
      <x:c r="J86" s="13"/>
      <x:c r="K86" s="13"/>
      <x:c r="L86" s="13"/>
      <x:c r="M86" s="13"/>
      <x:c r="N86" s="3"/>
      <x:c r="O86" s="3"/>
      <x:c r="P86" s="3"/>
      <x:c r="Q86" s="3"/>
    </x:row>
    <x:row r="87" ht="20" customHeight="1">
      <x:c r="C87" s="3" t="str">
        <x:v>Proceeds from stock issuance</x:v>
      </x:c>
      <x:c r="D87" s="30" t="n">
        <x:v>1841</x:v>
      </x:c>
      <x:c r="E87" s="30" t="n">
        <x:v>1866</x:v>
      </x:c>
      <x:c r="F87" s="30" t="n">
        <x:v>2002</x:v>
      </x:c>
      <x:c r="G87" s="30" t="n">
        <x:v>2056</x:v>
      </x:c>
      <x:c r="H87" s="30" t="n">
        <x:v>2009</x:v>
      </x:c>
      <x:c r="I87" s="13"/>
      <x:c r="J87" s="13"/>
      <x:c r="K87" s="13"/>
      <x:c r="L87" s="13"/>
      <x:c r="M87" s="13"/>
      <x:c r="N87" s="3"/>
      <x:c r="O87" s="3"/>
      <x:c r="P87" s="3"/>
      <x:c r="Q87" s="3"/>
    </x:row>
    <x:row r="88" ht="20" customHeight="1">
      <x:c r="C88" s="3" t="str">
        <x:v>Share repurchases</x:v>
      </x:c>
      <x:c r="D88" s="30" t="n">
        <x:v>-32696</x:v>
      </x:c>
      <x:c r="E88" s="30" t="n">
        <x:v>-22245</x:v>
      </x:c>
      <x:c r="F88" s="30" t="n">
        <x:v>-17254</x:v>
      </x:c>
      <x:c r="G88" s="30" t="n">
        <x:v>-18420</x:v>
      </x:c>
      <x:c r="H88" s="30" t="n">
        <x:v>-22271</x:v>
      </x:c>
      <x:c r="I88" s="13"/>
      <x:c r="J88" s="13"/>
      <x:c r="K88" s="13"/>
      <x:c r="L88" s="13"/>
      <x:c r="M88" s="13"/>
      <x:c r="N88" s="3"/>
      <x:c r="O88" s="3"/>
      <x:c r="P88" s="3"/>
      <x:c r="Q88" s="3"/>
    </x:row>
    <x:row r="89" ht="20" customHeight="1">
      <x:c r="C89" s="3" t="str">
        <x:v>Dividends paid</x:v>
      </x:c>
      <x:c r="D89" s="30" t="n">
        <x:v>-18135</x:v>
      </x:c>
      <x:c r="E89" s="30" t="n">
        <x:v>-19800</x:v>
      </x:c>
      <x:c r="F89" s="30" t="n">
        <x:v>-21771</x:v>
      </x:c>
      <x:c r="G89" s="30" t="n">
        <x:v>-24082</x:v>
      </x:c>
      <x:c r="H89" s="30" t="n">
        <x:v>-26445</x:v>
      </x:c>
      <x:c r="I89" s="13"/>
      <x:c r="J89" s="13"/>
      <x:c r="K89" s="13"/>
      <x:c r="L89" s="13"/>
      <x:c r="M89" s="13"/>
      <x:c r="N89" s="3"/>
      <x:c r="O89" s="3"/>
      <x:c r="P89" s="3"/>
      <x:c r="Q89" s="3"/>
    </x:row>
    <x:row r="90" ht="20" customHeight="1">
      <x:c r="C90" s="3" t="str">
        <x:v>Finance lease principal paid</x:v>
      </x:c>
      <x:c r="D90" s="30" t="n">
        <x:v>-896</x:v>
      </x:c>
      <x:c r="E90" s="30" t="n">
        <x:v>-1056</x:v>
      </x:c>
      <x:c r="F90" s="30" t="n">
        <x:v>-1286</x:v>
      </x:c>
      <x:c r="G90" s="30" t="n">
        <x:v>-2283</x:v>
      </x:c>
      <x:c r="H90" s="30" t="n">
        <x:v>-3101</x:v>
      </x:c>
      <x:c r="I90" s="13"/>
      <x:c r="J90" s="13"/>
      <x:c r="K90" s="13"/>
      <x:c r="L90" s="13"/>
      <x:c r="M90" s="13"/>
      <x:c r="N90" s="3"/>
      <x:c r="O90" s="36" t="str">
        <x:v>Finance lease principal split from Other financing. Other financing is adjusted by the same amount.</x:v>
      </x:c>
      <x:c r="P90" s="3"/>
      <x:c r="Q90" s="3"/>
    </x:row>
    <x:row r="91" ht="20" customHeight="1">
      <x:c r="C91" s="3" t="str">
        <x:v>Other financing cash flow</x:v>
      </x:c>
      <x:c r="D91" s="30" t="n">
        <x:v>33</x:v>
      </x:c>
      <x:c r="E91" s="30" t="n">
        <x:v>50</x:v>
      </x:c>
      <x:c r="F91" s="30" t="n">
        <x:v>-23</x:v>
      </x:c>
      <x:c r="G91" s="30" t="n">
        <x:v>-8</x:v>
      </x:c>
      <x:c r="H91" s="30" t="n">
        <x:v>262</x:v>
      </x:c>
      <x:c r="I91" s="13"/>
      <x:c r="J91" s="13"/>
      <x:c r="K91" s="13"/>
      <x:c r="L91" s="13"/>
      <x:c r="M91" s="13"/>
      <x:c r="N91" s="3"/>
      <x:c r="O91" s="3"/>
      <x:c r="P91" s="3"/>
      <x:c r="Q91" s="3"/>
    </x:row>
    <x:row r="92" ht="20" customHeight="1">
      <x:c r="C92" s="20" t="str">
        <x:v>Cash from financing</x:v>
      </x:c>
      <x:c r="D92" s="32" t="n">
        <x:v>-58876</x:v>
      </x:c>
      <x:c r="E92" s="32" t="n">
        <x:v>-43935</x:v>
      </x:c>
      <x:c r="F92" s="32" t="n">
        <x:v>-37757</x:v>
      </x:c>
      <x:c r="G92" s="32" t="n">
        <x:v>-51699</x:v>
      </x:c>
      <x:c r="H92" s="32" t="n">
        <x:v>-52546</x:v>
      </x:c>
      <x:c r="I92" s="22"/>
      <x:c r="J92" s="22"/>
      <x:c r="K92" s="22"/>
      <x:c r="L92" s="22"/>
      <x:c r="M92" s="22"/>
      <x:c r="N92" s="3"/>
      <x:c r="O92" s="3"/>
      <x:c r="P92" s="3"/>
      <x:c r="Q92" s="3"/>
    </x:row>
    <x:row r="93" ht="20" customHeight="1">
      <x:c r="C93" s="3"/>
      <x:c r="D93" s="30"/>
      <x:c r="E93" s="30"/>
      <x:c r="F93" s="30"/>
      <x:c r="G93" s="30"/>
      <x:c r="H93" s="30"/>
      <x:c r="I93" s="13"/>
      <x:c r="J93" s="13"/>
      <x:c r="K93" s="13"/>
      <x:c r="L93" s="13"/>
      <x:c r="M93" s="13"/>
      <x:c r="N93" s="3"/>
      <x:c r="O93" s="3"/>
      <x:c r="P93" s="3"/>
      <x:c r="Q93" s="3"/>
    </x:row>
    <x:row r="94" ht="20" customHeight="1">
      <x:c r="C94" s="3" t="str">
        <x:v>FX effect on cash</x:v>
      </x:c>
      <x:c r="D94" s="30" t="n">
        <x:v>-141</x:v>
      </x:c>
      <x:c r="E94" s="30" t="n">
        <x:v>-194</x:v>
      </x:c>
      <x:c r="F94" s="30" t="n">
        <x:v>-210</x:v>
      </x:c>
      <x:c r="G94" s="30" t="n">
        <x:v>63</x:v>
      </x:c>
      <x:c r="H94" s="30" t="n">
        <x:v>-196</x:v>
      </x:c>
      <x:c r="I94" s="13"/>
      <x:c r="J94" s="13"/>
      <x:c r="K94" s="13"/>
      <x:c r="L94" s="13"/>
      <x:c r="M94" s="13"/>
      <x:c r="N94" s="3"/>
      <x:c r="O94" s="3"/>
      <x:c r="P94" s="3"/>
      <x:c r="Q94" s="3"/>
    </x:row>
    <x:row r="95" ht="20" customHeight="1">
      <x:c r="C95" s="20" t="str">
        <x:v>Net change in cash</x:v>
      </x:c>
      <x:c r="D95" s="32" t="n">
        <x:v>-293</x:v>
      </x:c>
      <x:c r="E95" s="32" t="n">
        <x:v>20773</x:v>
      </x:c>
      <x:c r="F95" s="32" t="n">
        <x:v>-16389</x:v>
      </x:c>
      <x:c r="G95" s="32" t="n">
        <x:v>11927</x:v>
      </x:c>
      <x:c r="H95" s="32" t="n">
        <x:v>-9307</x:v>
      </x:c>
      <x:c r="I95" s="22"/>
      <x:c r="J95" s="22"/>
      <x:c r="K95" s="22"/>
      <x:c r="L95" s="22"/>
      <x:c r="M95" s="22"/>
      <x:c r="N95" s="3"/>
      <x:c r="O95" s="3"/>
      <x:c r="P95" s="3"/>
      <x:c r="Q95" s="3"/>
    </x:row>
    <x:row r="96" ht="20" customHeight="1">
      <x:c r="C96" s="3" t="str">
        <x:v>Beginning cash</x:v>
      </x:c>
      <x:c r="D96" s="30" t="n">
        <x:v>14224</x:v>
      </x:c>
      <x:c r="E96" s="30" t="n">
        <x:v>13931</x:v>
      </x:c>
      <x:c r="F96" s="30" t="n">
        <x:v>34704</x:v>
      </x:c>
      <x:c r="G96" s="30" t="n">
        <x:v>18315</x:v>
      </x:c>
      <x:c r="H96" s="30" t="n">
        <x:v>30242</x:v>
      </x:c>
      <x:c r="I96" s="13"/>
      <x:c r="J96" s="13"/>
      <x:c r="K96" s="13"/>
      <x:c r="L96" s="13"/>
      <x:c r="M96" s="13"/>
      <x:c r="N96" s="3"/>
      <x:c r="O96" s="3"/>
      <x:c r="P96" s="3"/>
      <x:c r="Q96" s="3"/>
    </x:row>
    <x:row r="97" ht="20" customHeight="1">
      <x:c r="C97" s="20" t="str">
        <x:v>Ending cash</x:v>
      </x:c>
      <x:c r="D97" s="32" t="n">
        <x:v>13931</x:v>
      </x:c>
      <x:c r="E97" s="32" t="n">
        <x:v>34704</x:v>
      </x:c>
      <x:c r="F97" s="32" t="n">
        <x:v>18315</x:v>
      </x:c>
      <x:c r="G97" s="32" t="n">
        <x:v>30242</x:v>
      </x:c>
      <x:c r="H97" s="32" t="n">
        <x:v>20935</x:v>
      </x:c>
      <x:c r="I97" s="22"/>
      <x:c r="J97" s="22"/>
      <x:c r="K97" s="22"/>
      <x:c r="L97" s="22"/>
      <x:c r="M97" s="22"/>
      <x:c r="N97" s="3"/>
      <x:c r="O97" s="3"/>
      <x:c r="P97" s="3"/>
      <x:c r="Q97" s="3"/>
    </x:row>
    <x:row r="98" ht="20" customHeight="1">
      <x:c r="C98" s="20" t="str">
        <x:v>Operating cash flow less cash capex</x:v>
      </x:c>
      <x:c r="D98" s="32" t="n">
        <x:v>65149</x:v>
      </x:c>
      <x:c r="E98" s="32" t="n">
        <x:v>59475</x:v>
      </x:c>
      <x:c r="F98" s="32" t="n">
        <x:v>74071</x:v>
      </x:c>
      <x:c r="G98" s="32" t="n">
        <x:v>71611</x:v>
      </x:c>
      <x:c r="H98" s="32" t="n">
        <x:v>66987</x:v>
      </x:c>
      <x:c r="I98" s="22"/>
      <x:c r="J98" s="22"/>
      <x:c r="K98" s="22"/>
      <x:c r="L98" s="22"/>
      <x:c r="M98" s="22"/>
      <x:c r="N98" s="3"/>
      <x:c r="O98" s="3"/>
      <x:c r="P98" s="3"/>
      <x:c r="Q98" s="3"/>
    </x:row>
    <x:row r="99" ht="20" customHeight="1">
      <x:c r="C99" s="3"/>
      <x:c r="D99" s="30"/>
      <x:c r="E99" s="30"/>
      <x:c r="F99" s="30"/>
      <x:c r="G99" s="30"/>
      <x:c r="H99" s="30"/>
      <x:c r="I99" s="13"/>
      <x:c r="J99" s="13"/>
      <x:c r="K99" s="13"/>
      <x:c r="L99" s="13"/>
      <x:c r="M99" s="13"/>
      <x:c r="N99" s="3"/>
      <x:c r="O99" s="3"/>
      <x:c r="P99" s="3"/>
      <x:c r="Q99" s="3"/>
    </x:row>
    <x:row r="100" ht="20" customHeight="1">
      <x:c r="C100" s="3"/>
      <x:c r="D100" s="30"/>
      <x:c r="E100" s="30"/>
      <x:c r="F100" s="30"/>
      <x:c r="G100" s="30"/>
      <x:c r="H100" s="30"/>
      <x:c r="I100" s="13"/>
      <x:c r="J100" s="13"/>
      <x:c r="K100" s="13"/>
      <x:c r="L100" s="13"/>
      <x:c r="M100" s="13"/>
      <x:c r="N100" s="3"/>
      <x:c r="O100" s="3"/>
      <x:c r="P100" s="3"/>
      <x:c r="Q100" s="3"/>
    </x:row>
    <x:row r="101" ht="20" customHeight="1">
      <x:c r="C101" s="3" t="str">
        <x:v>Operating working capital, excluding capex AP</x:v>
      </x:c>
      <x:c r="D101" s="30"/>
      <x:c r="E101" s="30"/>
      <x:c r="F101" s="30"/>
      <x:c r="G101" s="30"/>
      <x:c r="H101" s="30"/>
      <x:c r="I101" s="13"/>
      <x:c r="J101" s="13"/>
      <x:c r="K101" s="13"/>
      <x:c r="L101" s="13"/>
      <x:c r="M101" s="13"/>
      <x:c r="N101" s="3"/>
      <x:c r="O101" s="3"/>
      <x:c r="P101" s="3"/>
      <x:c r="Q101" s="3"/>
    </x:row>
    <x:row r="102" ht="20" customHeight="1">
      <x:c r="C102" s="3"/>
      <x:c r="D102" s="30"/>
      <x:c r="E102" s="30"/>
      <x:c r="F102" s="30"/>
      <x:c r="G102" s="30"/>
      <x:c r="H102" s="30"/>
      <x:c r="I102" s="13"/>
      <x:c r="J102" s="13"/>
      <x:c r="K102" s="13"/>
      <x:c r="L102" s="13"/>
      <x:c r="M102" s="13"/>
      <x:c r="N102" s="3"/>
      <x:c r="O102" s="3"/>
      <x:c r="P102" s="3"/>
      <x:c r="Q102" s="3"/>
    </x:row>
    <x:row r="103" ht="20" customHeight="1">
      <x:c r="C103" s="3"/>
      <x:c r="D103" s="30"/>
      <x:c r="E103" s="30"/>
      <x:c r="F103" s="30"/>
      <x:c r="G103" s="30"/>
      <x:c r="H103" s="30"/>
      <x:c r="I103" s="13"/>
      <x:c r="J103" s="13"/>
      <x:c r="K103" s="13"/>
      <x:c r="L103" s="13"/>
      <x:c r="M103" s="13"/>
      <x:c r="N103" s="3"/>
      <x:c r="O103" s="3"/>
      <x:c r="P103" s="3"/>
      <x:c r="Q103" s="3"/>
    </x:row>
    <x:row r="104" ht="20" customHeight="1">
      <x:c r="C104" s="3"/>
      <x:c r="D104" s="30"/>
      <x:c r="E104" s="30"/>
      <x:c r="F104" s="30"/>
      <x:c r="G104" s="30"/>
      <x:c r="H104" s="30"/>
      <x:c r="I104" s="13"/>
      <x:c r="J104" s="13"/>
      <x:c r="K104" s="13"/>
      <x:c r="L104" s="13"/>
      <x:c r="M104" s="13"/>
      <x:c r="N104" s="3"/>
      <x:c r="O104" s="3"/>
      <x:c r="P104" s="3"/>
      <x:c r="Q104" s="3"/>
    </x:row>
    <x:row r="105" ht="20" customHeight="1">
      <x:c r="C105" s="3"/>
      <x:c r="D105" s="30"/>
      <x:c r="E105" s="30"/>
      <x:c r="F105" s="30"/>
      <x:c r="G105" s="30"/>
      <x:c r="H105" s="30"/>
      <x:c r="I105" s="13"/>
      <x:c r="J105" s="13"/>
      <x:c r="K105" s="13"/>
      <x:c r="L105" s="13"/>
      <x:c r="M105" s="13"/>
      <x:c r="N105" s="3"/>
      <x:c r="O105" s="3"/>
      <x:c r="P105" s="3"/>
      <x:c r="Q105" s="3"/>
    </x:row>
    <x:row r="106" ht="20" customHeight="1">
      <x:c r="C106" s="3"/>
      <x:c r="D106" s="30"/>
      <x:c r="E106" s="30"/>
      <x:c r="F106" s="30"/>
      <x:c r="G106" s="30"/>
      <x:c r="H106" s="30"/>
      <x:c r="I106" s="13"/>
      <x:c r="J106" s="13"/>
      <x:c r="K106" s="13"/>
      <x:c r="L106" s="13"/>
      <x:c r="M106" s="13"/>
      <x:c r="N106" s="3"/>
      <x:c r="O106" s="3"/>
      <x:c r="P106" s="3"/>
      <x:c r="Q106" s="3"/>
    </x:row>
    <x:row r="107" ht="20" customHeight="1">
      <x:c r="C107" s="3"/>
      <x:c r="D107" s="30"/>
      <x:c r="E107" s="30"/>
      <x:c r="F107" s="30"/>
      <x:c r="G107" s="30"/>
      <x:c r="H107" s="30"/>
      <x:c r="I107" s="13"/>
      <x:c r="J107" s="13"/>
      <x:c r="K107" s="13"/>
      <x:c r="L107" s="13"/>
      <x:c r="M107" s="13"/>
      <x:c r="N107" s="3"/>
      <x:c r="O107" s="3"/>
      <x:c r="P107" s="3"/>
      <x:c r="Q107" s="3"/>
    </x:row>
    <x:row r="108" ht="20" customHeight="1">
      <x:c r="C108" s="3"/>
      <x:c r="D108" s="30"/>
      <x:c r="E108" s="30"/>
      <x:c r="F108" s="30"/>
      <x:c r="G108" s="30"/>
      <x:c r="H108" s="30"/>
      <x:c r="I108" s="13"/>
      <x:c r="J108" s="13"/>
      <x:c r="K108" s="13"/>
      <x:c r="L108" s="13"/>
      <x:c r="M108" s="13"/>
      <x:c r="N108" s="3"/>
      <x:c r="O108" s="3"/>
      <x:c r="P108" s="3"/>
      <x:c r="Q108" s="3"/>
    </x:row>
    <x:row r="109" ht="20" customHeight="1">
      <x:c r="C109" s="3"/>
      <x:c r="D109" s="30"/>
      <x:c r="E109" s="30"/>
      <x:c r="F109" s="30"/>
      <x:c r="G109" s="30"/>
      <x:c r="H109" s="30"/>
      <x:c r="I109" s="13"/>
      <x:c r="J109" s="13"/>
      <x:c r="K109" s="13"/>
      <x:c r="L109" s="13"/>
      <x:c r="M109" s="13"/>
      <x:c r="N109" s="3"/>
      <x:c r="O109" s="3"/>
      <x:c r="P109" s="3"/>
      <x:c r="Q109" s="3"/>
    </x:row>
    <x:row r="110" ht="20" customHeight="1">
      <x:c r="C110" s="3" t="str">
        <x:v>MSFT quote, October 26, 2026</x:v>
      </x:c>
      <x:c r="D110" s="30"/>
      <x:c r="E110" s="30"/>
      <x:c r="F110" s="30"/>
      <x:c r="G110" s="30"/>
      <x:c r="H110" s="30" t="n">
        <x:v>530.17</x:v>
      </x:c>
      <x:c r="I110" s="13"/>
      <x:c r="J110" s="13"/>
      <x:c r="K110" s="13"/>
      <x:c r="L110" s="13"/>
      <x:c r="M110" s="13"/>
      <x:c r="N110" s="3"/>
      <x:c r="O110" s="36" t="str">
        <x:v>Source: Yahoo chart snapshot. 2026-10-26T17:43:48+00:00 UTC. Intraday/delayed, not closing price.</x:v>
      </x:c>
      <x:c r="P110" s="3"/>
      <x:c r="Q110" s="3"/>
    </x:row>
    <x:row r="111" ht="20" customHeight="1">
      <x:c r="C111" s="3" t="str">
        <x:v>Quote timestamp (UTC)</x:v>
      </x:c>
      <x:c r="D111" s="30"/>
      <x:c r="E111" s="30"/>
      <x:c r="F111" s="30"/>
      <x:c r="G111" s="30"/>
      <x:c r="H111" s="30" t="d">
        <x:v>2026-10-26T17:43:48.000Z</x:v>
      </x:c>
      <x:c r="I111" s="13"/>
      <x:c r="J111" s="13"/>
      <x:c r="K111" s="13"/>
      <x:c r="L111" s="13"/>
      <x:c r="M111" s="13"/>
      <x:c r="N111" s="3"/>
      <x:c r="O111" s="3"/>
      <x:c r="P111" s="3"/>
      <x:c r="Q111" s="3"/>
    </x:row>
    <x:row r="112" ht="20" customHeight="1">
      <x:c r="C112" s="3" t="str">
        <x:v>10-year Treasury yield, October 23, 2026</x:v>
      </x:c>
      <x:c r="D112" s="30"/>
      <x:c r="E112" s="30"/>
      <x:c r="F112" s="30"/>
      <x:c r="G112" s="30"/>
      <x:c r="H112" s="35" t="n">
        <x:v>0.05</x:v>
      </x:c>
      <x:c r="I112" s="13"/>
      <x:c r="J112" s="13"/>
      <x:c r="K112" s="13"/>
      <x:c r="L112" s="13"/>
      <x:c r="M112" s="13"/>
      <x:c r="N112" s="3"/>
      <x:c r="O112" s="36" t="str">
        <x:v>Source: US Treasury. https://home.treasury.gov/resource-center/data-chart-center/interest-rates/TextView?type=daily_treasury_yield_curve&amp;field_tdr_date_value=2026</x:v>
      </x:c>
      <x:c r="P112" s="3"/>
      <x:c r="Q112" s="3"/>
    </x:row>
    <x:row r="113" ht="20" customHeight="1">
      <x:c r="C113" s="3" t="str">
        <x:v>Published US equity risk premium</x:v>
      </x:c>
      <x:c r="D113" s="30"/>
      <x:c r="E113" s="30"/>
      <x:c r="F113" s="30"/>
      <x:c r="G113" s="30"/>
      <x:c r="H113" s="35" t="n">
        <x:v>0.0446</x:v>
      </x:c>
      <x:c r="I113" s="13"/>
      <x:c r="J113" s="13"/>
      <x:c r="K113" s="13"/>
      <x:c r="L113" s="13"/>
      <x:c r="M113" s="13"/>
      <x:c r="N113" s="3"/>
      <x:c r="O113" s="36" t="str">
        <x:v>Source: Damodaran country risk premium snapshot, published estimate. https://pages.stern.nyu.edu/~adamodar/New_Home_Page/datafile/ctryprem.html</x:v>
      </x:c>
      <x:c r="P113" s="3"/>
      <x:c r="Q113" s="3"/>
    </x:row>
    <x:row r="114" ht="20" customHeight="1">
      <x:c r="C114" s="3" t="str">
        <x:v>Historical monthly beta</x:v>
      </x:c>
      <x:c r="D114" s="30"/>
      <x:c r="E114" s="30"/>
      <x:c r="F114" s="30"/>
      <x:c r="G114" s="30"/>
      <x:c r="H114" s="30" t="n">
        <x:v>1.0527416388506674</x:v>
      </x:c>
      <x:c r="I114" s="13"/>
      <x:c r="J114" s="13"/>
      <x:c r="K114" s="13"/>
      <x:c r="L114" s="13"/>
      <x:c r="M114" s="13"/>
      <x:c r="N114" s="3"/>
      <x:c r="O114" s="36" t="str">
        <x:v>OLS, 58 monthly returns to September 2026. S&amp;P 500 price-index benchmark.</x:v>
      </x:c>
      <x:c r="P114" s="3"/>
      <x:c r="Q114" s="3"/>
    </x:row>
    <x:row r="115" ht="20" customHeight="1">
      <x:c r="C115" s="3" t="str">
        <x:v>Ending basic shares, June 30, 2026</x:v>
      </x:c>
      <x:c r="D115" s="30"/>
      <x:c r="E115" s="30"/>
      <x:c r="F115" s="30"/>
      <x:c r="G115" s="30"/>
      <x:c r="H115" s="30" t="n">
        <x:v>7427</x:v>
      </x:c>
      <x:c r="I115" s="13"/>
      <x:c r="J115" s="13"/>
      <x:c r="K115" s="13"/>
      <x:c r="L115" s="13"/>
      <x:c r="M115" s="13"/>
      <x:c r="N115" s="3"/>
      <x:c r="O115" s="3"/>
      <x:c r="P115" s="3"/>
      <x:c r="Q115" s="3"/>
    </x:row>
    <x:row r="116" ht="20" customHeight="1">
      <x:c r="C116" s="3" t="str">
        <x:v>Incremental diluted shares proxy</x:v>
      </x:c>
      <x:c r="D116" s="30"/>
      <x:c r="E116" s="30"/>
      <x:c r="F116" s="30"/>
      <x:c r="G116" s="30"/>
      <x:c r="H116" s="30" t="n">
        <x:v>24</x:v>
      </x:c>
      <x:c r="I116" s="13"/>
      <x:c r="J116" s="13"/>
      <x:c r="K116" s="13"/>
      <x:c r="L116" s="13"/>
      <x:c r="M116" s="13"/>
      <x:c r="N116" s="3"/>
      <x:c r="O116" s="3"/>
      <x:c r="P116" s="3"/>
      <x:c r="Q116" s="3"/>
    </x:row>
    <x:row r="117" ht="20" customHeight="1">
      <x:c r="C117" s="3" t="str">
        <x:v>PP&amp;E depreciation FY2026 (rounded note)</x:v>
      </x:c>
      <x:c r="D117" s="30"/>
      <x:c r="E117" s="30"/>
      <x:c r="F117" s="30"/>
      <x:c r="G117" s="30"/>
      <x:c r="H117" s="30" t="n">
        <x:v>34300</x:v>
      </x:c>
      <x:c r="I117" s="13"/>
      <x:c r="J117" s="13"/>
      <x:c r="K117" s="13"/>
      <x:c r="L117" s="13"/>
      <x:c r="M117" s="13"/>
      <x:c r="N117" s="3"/>
      <x:c r="O117" s="36" t="str">
        <x:v>Source: FY2026 annual report, PP&amp;E note. Note rounds depreciation to $34.3bn and amortization to $4.7bn.</x:v>
      </x:c>
      <x:c r="P117" s="3"/>
      <x:c r="Q117" s="3"/>
    </x:row>
    <x:row r="118" ht="20" customHeight="1">
      <x:c r="C118" s="3" t="str">
        <x:v>Intangible amortization FY2026 (rounded note)</x:v>
      </x:c>
      <x:c r="D118" s="30"/>
      <x:c r="E118" s="30"/>
      <x:c r="F118" s="30"/>
      <x:c r="G118" s="30"/>
      <x:c r="H118" s="30" t="n">
        <x:v>4700</x:v>
      </x:c>
      <x:c r="I118" s="13"/>
      <x:c r="J118" s="13"/>
      <x:c r="K118" s="13"/>
      <x:c r="L118" s="13"/>
      <x:c r="M118" s="13"/>
      <x:c r="N118" s="3"/>
      <x:c r="O118" s="3"/>
      <x:c r="P118" s="3"/>
      <x:c r="Q118" s="3"/>
    </x:row>
    <x:row r="119" ht="20" customHeight="1">
      <x:c r="C119" s="3" t="str">
        <x:v>Capex included in accounts payable FY2026</x:v>
      </x:c>
      <x:c r="D119" s="30"/>
      <x:c r="E119" s="30"/>
      <x:c r="F119" s="30"/>
      <x:c r="G119" s="30"/>
      <x:c r="H119" s="30" t="n">
        <x:v>26700</x:v>
      </x:c>
      <x:c r="I119" s="13"/>
      <x:c r="J119" s="13"/>
      <x:c r="K119" s="13"/>
      <x:c r="L119" s="13"/>
      <x:c r="M119" s="13"/>
      <x:c r="N119" s="3"/>
      <x:c r="O119" s="36" t="str">
        <x:v>Source: PP&amp;E note. Purchases of PP&amp;E remaining in accounts payable.</x:v>
      </x:c>
      <x:c r="P119" s="3"/>
      <x:c r="Q119" s="3"/>
    </x:row>
    <x:row r="120" ht="20" customHeight="1">
      <x:c r="C120" s="3" t="str">
        <x:v>Current operating lease liability FY2026</x:v>
      </x:c>
      <x:c r="D120" s="30"/>
      <x:c r="E120" s="30"/>
      <x:c r="F120" s="30"/>
      <x:c r="G120" s="30"/>
      <x:c r="H120" s="30" t="n">
        <x:v>5393</x:v>
      </x:c>
      <x:c r="I120" s="13"/>
      <x:c r="J120" s="13"/>
      <x:c r="K120" s="13"/>
      <x:c r="L120" s="13"/>
      <x:c r="M120" s="13"/>
      <x:c r="N120" s="3"/>
      <x:c r="O120" s="3"/>
      <x:c r="P120" s="3"/>
      <x:c r="Q120" s="3"/>
    </x:row>
    <x:row r="121" ht="20" customHeight="1">
      <x:c r="C121" s="3" t="str">
        <x:v>Land FY2026</x:v>
      </x:c>
      <x:c r="D121" s="30"/>
      <x:c r="E121" s="30"/>
      <x:c r="F121" s="30"/>
      <x:c r="G121" s="30"/>
      <x:c r="H121" s="30" t="n">
        <x:v>10546</x:v>
      </x:c>
      <x:c r="I121" s="13"/>
      <x:c r="J121" s="13"/>
      <x:c r="K121" s="13"/>
      <x:c r="L121" s="13"/>
      <x:c r="M121" s="13"/>
      <x:c r="N121" s="3"/>
      <x:c r="O121" s="3"/>
      <x:c r="P121" s="3"/>
      <x:c r="Q121" s="3"/>
    </x:row>
    <x:row r="122" ht="20" customHeight="1">
      <x:c r="C122" s="3" t="str">
        <x:v>Corporate debt carrying amount FY2026</x:v>
      </x:c>
      <x:c r="D122" s="30"/>
      <x:c r="E122" s="30"/>
      <x:c r="F122" s="30"/>
      <x:c r="G122" s="30"/>
      <x:c r="H122" s="30" t="n">
        <x:v>40294</x:v>
      </x:c>
      <x:c r="I122" s="13"/>
      <x:c r="J122" s="13"/>
      <x:c r="K122" s="13"/>
      <x:c r="L122" s="13"/>
      <x:c r="M122" s="13"/>
      <x:c r="N122" s="3"/>
      <x:c r="O122" s="3"/>
      <x:c r="P122" s="3"/>
      <x:c r="Q122" s="3"/>
    </x:row>
    <x:row r="123" ht="20" customHeight="1">
      <x:c r="C123" s="3"/>
      <x:c r="D123" s="30"/>
      <x:c r="E123" s="30"/>
      <x:c r="F123" s="30"/>
      <x:c r="G123" s="30"/>
      <x:c r="H123" s="30"/>
      <x:c r="I123" s="13"/>
      <x:c r="J123" s="13"/>
      <x:c r="K123" s="13"/>
      <x:c r="L123" s="13"/>
      <x:c r="M123" s="13"/>
      <x:c r="N123" s="3"/>
      <x:c r="O123" s="3"/>
      <x:c r="P123" s="3"/>
      <x:c r="Q123" s="3"/>
    </x:row>
    <x:row r="124" ht="20" customHeight="1">
      <x:c r="C124" s="3"/>
      <x:c r="D124" s="30"/>
      <x:c r="E124" s="30"/>
      <x:c r="F124" s="30"/>
      <x:c r="G124" s="30"/>
      <x:c r="H124" s="30"/>
      <x:c r="I124" s="13"/>
      <x:c r="J124" s="13"/>
      <x:c r="K124" s="13"/>
      <x:c r="L124" s="13"/>
      <x:c r="M124" s="13"/>
      <x:c r="N124" s="3"/>
      <x:c r="O124" s="3"/>
      <x:c r="P124" s="3"/>
      <x:c r="Q124" s="3"/>
    </x:row>
    <x:row r="125" ht="20" customHeight="1">
      <x:c r="C125" s="3"/>
      <x:c r="D125" s="30"/>
      <x:c r="E125" s="30"/>
      <x:c r="F125" s="30"/>
      <x:c r="G125" s="30"/>
      <x:c r="H125" s="30"/>
      <x:c r="I125" s="13"/>
      <x:c r="J125" s="13"/>
      <x:c r="K125" s="13"/>
      <x:c r="L125" s="13"/>
      <x:c r="M125" s="13"/>
      <x:c r="N125" s="3"/>
      <x:c r="O125" s="3"/>
      <x:c r="P125" s="3"/>
      <x:c r="Q125" s="3"/>
    </x:row>
    <x:row r="126" ht="20" customHeight="1">
      <x:c r="C126" s="3" t="str">
        <x:v>Debt principal maturities</x:v>
      </x:c>
      <x:c r="D126" s="30"/>
      <x:c r="E126" s="30"/>
      <x:c r="F126" s="30"/>
      <x:c r="G126" s="30"/>
      <x:c r="H126" s="30"/>
      <x:c r="I126" s="13" t="n">
        <x:v>9250</x:v>
      </x:c>
      <x:c r="J126" s="13" t="n">
        <x:v>0</x:v>
      </x:c>
      <x:c r="K126" s="13" t="n">
        <x:v>2001</x:v>
      </x:c>
      <x:c r="L126" s="13" t="n">
        <x:v>0</x:v>
      </x:c>
      <x:c r="M126" s="13" t="n">
        <x:v>500</x:v>
      </x:c>
      <x:c r="N126" s="3"/>
      <x:c r="O126" s="36" t="str">
        <x:v>Source: debt maturity and intangible amortization notes. Carrying-value debt is refinanced at maturity.</x:v>
      </x:c>
      <x:c r="P126" s="3"/>
      <x:c r="Q126" s="3"/>
    </x:row>
    <x:row r="127" ht="20" customHeight="1">
      <x:c r="C127" s="3" t="str">
        <x:v>Legacy finance lease cash payments</x:v>
      </x:c>
      <x:c r="D127" s="30"/>
      <x:c r="E127" s="30"/>
      <x:c r="F127" s="30"/>
      <x:c r="G127" s="30"/>
      <x:c r="H127" s="30"/>
      <x:c r="I127" s="13" t="n">
        <x:v>7121</x:v>
      </x:c>
      <x:c r="J127" s="13" t="n">
        <x:v>7294</x:v>
      </x:c>
      <x:c r="K127" s="13" t="n">
        <x:v>6668</x:v>
      </x:c>
      <x:c r="L127" s="13" t="n">
        <x:v>6570</x:v>
      </x:c>
      <x:c r="M127" s="13" t="n">
        <x:v>6543</x:v>
      </x:c>
      <x:c r="N127" s="3"/>
      <x:c r="O127" s="36" t="str">
        <x:v>Source: lease maturity note, legacy obligations at June 30, 2026.</x:v>
      </x:c>
      <x:c r="P127" s="3"/>
      <x:c r="Q127" s="3"/>
    </x:row>
    <x:row r="128" ht="20" customHeight="1">
      <x:c r="C128" s="3" t="str">
        <x:v>Scheduled acquired-intangible amortization</x:v>
      </x:c>
      <x:c r="D128" s="30"/>
      <x:c r="E128" s="30"/>
      <x:c r="F128" s="30"/>
      <x:c r="G128" s="30"/>
      <x:c r="H128" s="30"/>
      <x:c r="I128" s="13" t="n">
        <x:v>3097</x:v>
      </x:c>
      <x:c r="J128" s="13" t="n">
        <x:v>2141</x:v>
      </x:c>
      <x:c r="K128" s="13" t="n">
        <x:v>1944</x:v>
      </x:c>
      <x:c r="L128" s="13" t="n">
        <x:v>1477</x:v>
      </x:c>
      <x:c r="M128" s="13" t="n">
        <x:v>1128</x:v>
      </x:c>
      <x:c r="N128" s="3"/>
      <x:c r="O128" s="3"/>
      <x:c r="P128" s="3"/>
      <x:c r="Q128" s="3"/>
    </x:row>
    <x:row r="129" ht="20" customHeight="1">
      <x:c r="C129" s="3" t="str">
        <x:v>FY2032 legacy finance lease payment estimate</x:v>
      </x:c>
      <x:c r="D129" s="30"/>
      <x:c r="E129" s="30"/>
      <x:c r="F129" s="30"/>
      <x:c r="G129" s="30"/>
      <x:c r="H129" s="30"/>
      <x:c r="I129" s="13"/>
      <x:c r="J129" s="13"/>
      <x:c r="K129" s="13"/>
      <x:c r="L129" s="13"/>
      <x:c r="M129" s="13" t="n">
        <x:v>6543</x:v>
      </x:c>
      <x:c r="N129" s="3"/>
      <x:c r="O129" s="36" t="str">
        <x:v>Analyst estimate: holds the FY2031 legacy payment constant for FY2032 current-liability classification.</x:v>
      </x:c>
      <x:c r="P129" s="3"/>
      <x:c r="Q129" s="3"/>
    </x:row>
    <x:row r="130" ht="20" customHeight="1">
      <x:c r="C130" s="3" t="str">
        <x:v>Finance lease discount rate FY2026</x:v>
      </x:c>
      <x:c r="D130" s="30"/>
      <x:c r="E130" s="30"/>
      <x:c r="F130" s="30"/>
      <x:c r="G130" s="30"/>
      <x:c r="H130" s="35" t="n">
        <x:v>0.045</x:v>
      </x:c>
      <x:c r="I130" s="13"/>
      <x:c r="J130" s="13"/>
      <x:c r="K130" s="13"/>
      <x:c r="L130" s="13"/>
      <x:c r="M130" s="13"/>
      <x:c r="N130" s="3"/>
      <x:c r="O130" s="3"/>
      <x:c r="P130" s="3"/>
      <x:c r="Q130" s="3"/>
    </x:row>
    <x:row r="131" ht="20" customHeight="1">
      <x:c r="C131" s="3" t="str">
        <x:v>Operating lease discount rate FY2026</x:v>
      </x:c>
      <x:c r="D131" s="30"/>
      <x:c r="E131" s="30"/>
      <x:c r="F131" s="30"/>
      <x:c r="G131" s="30"/>
      <x:c r="H131" s="35" t="n">
        <x:v>0.037</x:v>
      </x:c>
      <x:c r="I131" s="13"/>
      <x:c r="J131" s="13"/>
      <x:c r="K131" s="13"/>
      <x:c r="L131" s="13"/>
      <x:c r="M131" s="13"/>
      <x:c r="N131" s="3"/>
      <x:c r="O131" s="3"/>
      <x:c r="P131" s="3"/>
      <x:c r="Q131" s="3"/>
    </x:row>
    <x:row r="132" ht="20" customHeight="1">
      <x:c r="C132" s="3" t="str">
        <x:v>Finance lease remaining term, years</x:v>
      </x:c>
      <x:c r="D132" s="30"/>
      <x:c r="E132" s="30"/>
      <x:c r="F132" s="30"/>
      <x:c r="G132" s="30"/>
      <x:c r="H132" s="30" t="n">
        <x:v>13</x:v>
      </x:c>
      <x:c r="I132" s="13"/>
      <x:c r="J132" s="13"/>
      <x:c r="K132" s="13"/>
      <x:c r="L132" s="13"/>
      <x:c r="M132" s="13"/>
      <x:c r="N132" s="3"/>
      <x:c r="O132" s="3"/>
      <x:c r="P132" s="3"/>
      <x:c r="Q132" s="3"/>
    </x:row>
    <x:row r="133" ht="20" customHeight="1">
      <x:c r="C133" s="3" t="str">
        <x:v>Operating lease remaining term, years</x:v>
      </x:c>
      <x:c r="D133" s="30"/>
      <x:c r="E133" s="30"/>
      <x:c r="F133" s="30"/>
      <x:c r="G133" s="30"/>
      <x:c r="H133" s="30" t="n">
        <x:v>6</x:v>
      </x:c>
      <x:c r="I133" s="13"/>
      <x:c r="J133" s="13"/>
      <x:c r="K133" s="13"/>
      <x:c r="L133" s="13"/>
      <x:c r="M133" s="13"/>
      <x:c r="N133" s="3"/>
      <x:c r="O133" s="3"/>
      <x:c r="P133" s="3"/>
      <x:c r="Q133" s="3"/>
    </x:row>
    <x:row r="134" ht="20" customHeight="1">
      <x:c r="C134" s="3" t="str">
        <x:v>Finance lease additions FY2026</x:v>
      </x:c>
      <x:c r="D134" s="30"/>
      <x:c r="E134" s="30"/>
      <x:c r="F134" s="30"/>
      <x:c r="G134" s="30"/>
      <x:c r="H134" s="30" t="n">
        <x:v>24608</x:v>
      </x:c>
      <x:c r="I134" s="13"/>
      <x:c r="J134" s="13"/>
      <x:c r="K134" s="13"/>
      <x:c r="L134" s="13"/>
      <x:c r="M134" s="13"/>
      <x:c r="N134" s="3"/>
      <x:c r="O134" s="3"/>
      <x:c r="P134" s="3"/>
      <x:c r="Q134" s="3"/>
    </x:row>
    <x:row r="135" ht="20" customHeight="1">
      <x:c r="C135" s="3" t="str">
        <x:v>Operating lease additions FY2026</x:v>
      </x:c>
      <x:c r="D135" s="30"/>
      <x:c r="E135" s="30"/>
      <x:c r="F135" s="30"/>
      <x:c r="G135" s="30"/>
      <x:c r="H135" s="30" t="n">
        <x:v>4555</x:v>
      </x:c>
      <x:c r="I135" s="13"/>
      <x:c r="J135" s="13"/>
      <x:c r="K135" s="13"/>
      <x:c r="L135" s="13"/>
      <x:c r="M135" s="13"/>
      <x:c r="N135" s="3"/>
      <x:c r="O135" s="3"/>
      <x:c r="P135" s="3"/>
      <x:c r="Q135" s="3"/>
    </x:row>
    <x:row r="136" ht="20" customHeight="1">
      <x:c r="C136" s="3" t="str">
        <x:v>Operating lease cost FY2026</x:v>
      </x:c>
      <x:c r="D136" s="30"/>
      <x:c r="E136" s="30"/>
      <x:c r="F136" s="30"/>
      <x:c r="G136" s="30"/>
      <x:c r="H136" s="30" t="n">
        <x:v>6968</x:v>
      </x:c>
      <x:c r="I136" s="13"/>
      <x:c r="J136" s="13"/>
      <x:c r="K136" s="13"/>
      <x:c r="L136" s="13"/>
      <x:c r="M136" s="13"/>
      <x:c r="N136" s="3"/>
      <x:c r="O136" s="3"/>
      <x:c r="P136" s="3"/>
      <x:c r="Q136" s="3"/>
    </x:row>
    <x:row r="137" ht="20" customHeight="1">
      <x:c r="C137" s="3" t="str">
        <x:v>Depreciation allocation to Agents and Infra</x:v>
      </x:c>
      <x:c r="D137" s="30"/>
      <x:c r="E137" s="30"/>
      <x:c r="F137" s="30"/>
      <x:c r="G137" s="30"/>
      <x:c r="H137" s="35" t="n">
        <x:v>0.95</x:v>
      </x:c>
      <x:c r="I137" s="13"/>
      <x:c r="J137" s="13"/>
      <x:c r="K137" s="13"/>
      <x:c r="L137" s="13"/>
      <x:c r="M137" s="13"/>
      <x:c r="N137" s="3"/>
      <x:c r="O137" s="36" t="str">
        <x:v>Analyst allocation proxy used only to calibrate historical segment cash costs: 95% of depreciation and 40% of amortization.</x:v>
      </x:c>
      <x:c r="P137" s="3"/>
      <x:c r="Q137" s="3"/>
    </x:row>
    <x:row r="138" ht="20" customHeight="1">
      <x:c r="C138" s="3" t="str">
        <x:v>Amortization allocation to Agents and Infra</x:v>
      </x:c>
      <x:c r="D138" s="30"/>
      <x:c r="E138" s="30"/>
      <x:c r="F138" s="30"/>
      <x:c r="G138" s="30"/>
      <x:c r="H138" s="35" t="n">
        <x:v>0.4</x:v>
      </x:c>
      <x:c r="I138" s="13"/>
      <x:c r="J138" s="13"/>
      <x:c r="K138" s="13"/>
      <x:c r="L138" s="13"/>
      <x:c r="M138" s="13"/>
      <x:c r="N138" s="3"/>
      <x:c r="O138" s="3"/>
      <x:c r="P138" s="3"/>
      <x:c r="Q138" s="3"/>
    </x:row>
    <x:row r="139" ht="20" customHeight="1">
      <x:c r="C139" s="3" t="str">
        <x:v>Finance lease interest FY2026</x:v>
      </x:c>
      <x:c r="D139" s="30"/>
      <x:c r="E139" s="30"/>
      <x:c r="F139" s="30"/>
      <x:c r="G139" s="30"/>
      <x:c r="H139" s="30" t="n">
        <x:v>2547</x:v>
      </x:c>
      <x:c r="I139" s="13"/>
      <x:c r="J139" s="13"/>
      <x:c r="K139" s="13"/>
      <x:c r="L139" s="13"/>
      <x:c r="M139" s="13"/>
      <x:c r="N139" s="3"/>
      <x:c r="O139" s="3"/>
      <x:c r="P139" s="3"/>
      <x:c r="Q139" s="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7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0" hidden="0" customWidth="1"/>
    <x:col min="16" max="16" width="16" hidden="0" customWidth="1"/>
    <x:col min="17" max="17" width="16" hidden="0" customWidth="1"/>
  </x:cols>
  <x:sheetData>
    <x:row r="1" ht="20" customHeight="1"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C2" s="7" t="str">
        <x:v>Historical and forecast checks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3"/>
      <x:c r="O2" s="3"/>
      <x:c r="P2" s="3"/>
      <x:c r="Q2" s="3"/>
    </x:row>
    <x:row r="3" ht="20" customHeight="1">
      <x:c r="C3" s="8" t="str">
        <x:v>USD millions except shares (millions), per-share values and rates</x:v>
      </x:c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3"/>
      <x:c r="O3" s="3"/>
      <x:c r="P3" s="3"/>
      <x:c r="Q3" s="3"/>
    </x:row>
    <x:row r="4" ht="24" customHeight="1">
      <x:c r="C4" s="11"/>
      <x:c r="D4" s="11" t="str">
        <x:v>FY:22 A</x:v>
      </x:c>
      <x:c r="E4" s="11" t="str">
        <x:v>FY:23 A</x:v>
      </x:c>
      <x:c r="F4" s="11" t="str">
        <x:v>FY:24 A</x:v>
      </x:c>
      <x:c r="G4" s="11" t="str">
        <x:v>FY:25 A</x:v>
      </x:c>
      <x:c r="H4" s="11" t="str">
        <x:v>FY:26 A</x:v>
      </x:c>
      <x:c r="I4" s="11" t="str">
        <x:v>FY:27 F</x:v>
      </x:c>
      <x:c r="J4" s="11" t="str">
        <x:v>FY:28 F</x:v>
      </x:c>
      <x:c r="K4" s="11" t="str">
        <x:v>FY:29 F</x:v>
      </x:c>
      <x:c r="L4" s="11" t="str">
        <x:v>FY:30 F</x:v>
      </x:c>
      <x:c r="M4" s="11" t="str">
        <x:v>FY:31 F</x:v>
      </x:c>
      <x:c r="N4" s="3"/>
      <x:c r="O4" s="3"/>
      <x:c r="P4" s="3"/>
      <x:c r="Q4" s="3"/>
    </x:row>
    <x:row r="5" ht="20" customHeight="1">
      <x:c r="C5" s="3"/>
      <x:c r="D5" s="12"/>
      <x:c r="E5" s="12"/>
      <x:c r="F5" s="12"/>
      <x:c r="G5" s="12"/>
      <x:c r="H5" s="12"/>
      <x:c r="I5" s="13"/>
      <x:c r="J5" s="13"/>
      <x:c r="K5" s="13"/>
      <x:c r="L5" s="13"/>
      <x:c r="M5" s="13"/>
      <x:c r="N5" s="3"/>
      <x:c r="O5" s="3"/>
      <x:c r="P5" s="3"/>
      <x:c r="Q5" s="3"/>
    </x:row>
    <x:row r="6" ht="20" customHeight="1">
      <x:c r="C6" s="3" t="str">
        <x:v>Balance sheet: assets less liabilities and equity</x:v>
      </x:c>
      <x:c r="D6" s="71" t="n">
        <x:f>'Statements'!D37-'Statements'!D60</x:f>
        <x:v>0</x:v>
      </x:c>
      <x:c r="E6" s="71" t="n">
        <x:f>'Statements'!E37-'Statements'!E60</x:f>
        <x:v>0</x:v>
      </x:c>
      <x:c r="F6" s="71" t="n">
        <x:f>'Statements'!F37-'Statements'!F60</x:f>
        <x:v>0</x:v>
      </x:c>
      <x:c r="G6" s="71" t="n">
        <x:f>'Statements'!G37-'Statements'!G60</x:f>
        <x:v>0</x:v>
      </x:c>
      <x:c r="H6" s="71" t="n">
        <x:f>'Statements'!H37-'Statements'!H60</x:f>
        <x:v>0</x:v>
      </x:c>
      <x:c r="I6" s="73" t="n">
        <x:f>'Statements'!I37-'Statements'!I60</x:f>
        <x:v>1.1641532182693481e-10</x:v>
      </x:c>
      <x:c r="J6" s="73" t="n">
        <x:f>'Statements'!J37-'Statements'!J60</x:f>
        <x:v>0</x:v>
      </x:c>
      <x:c r="K6" s="73" t="n">
        <x:f>'Statements'!K37-'Statements'!K60</x:f>
        <x:v>0</x:v>
      </x:c>
      <x:c r="L6" s="73" t="n">
        <x:f>'Statements'!L37-'Statements'!L60</x:f>
        <x:v>0</x:v>
      </x:c>
      <x:c r="M6" s="73" t="n">
        <x:f>'Statements'!M37-'Statements'!M60</x:f>
        <x:v>2.3283064365386963e-10</x:v>
      </x:c>
      <x:c r="N6" s="3"/>
      <x:c r="O6" s="3"/>
      <x:c r="P6" s="3"/>
      <x:c r="Q6" s="3"/>
    </x:row>
    <x:row r="7" ht="20" customHeight="1">
      <x:c r="C7" s="3" t="str">
        <x:v>Cash flow ending cash less balance-sheet cash</x:v>
      </x:c>
      <x:c r="D7" s="71" t="n">
        <x:f>'Statements'!D97-'Statements'!D25</x:f>
        <x:v>0</x:v>
      </x:c>
      <x:c r="E7" s="71" t="n">
        <x:f>'Statements'!E97-'Statements'!E25</x:f>
        <x:v>0</x:v>
      </x:c>
      <x:c r="F7" s="71" t="n">
        <x:f>'Statements'!F97-'Statements'!F25</x:f>
        <x:v>0</x:v>
      </x:c>
      <x:c r="G7" s="71" t="n">
        <x:f>'Statements'!G97-'Statements'!G25</x:f>
        <x:v>0</x:v>
      </x:c>
      <x:c r="H7" s="71" t="n">
        <x:f>'Statements'!H97-'Statements'!H25</x:f>
        <x:v>0</x:v>
      </x:c>
      <x:c r="I7" s="73" t="n">
        <x:f>'Statements'!I97-'Statements'!I25</x:f>
        <x:v>0</x:v>
      </x:c>
      <x:c r="J7" s="73" t="n">
        <x:f>'Statements'!J97-'Statements'!J25</x:f>
        <x:v>0</x:v>
      </x:c>
      <x:c r="K7" s="73" t="n">
        <x:f>'Statements'!K97-'Statements'!K25</x:f>
        <x:v>0</x:v>
      </x:c>
      <x:c r="L7" s="73" t="n">
        <x:f>'Statements'!L97-'Statements'!L25</x:f>
        <x:v>0</x:v>
      </x:c>
      <x:c r="M7" s="73" t="n">
        <x:f>'Statements'!M97-'Statements'!M25</x:f>
        <x:v>0</x:v>
      </x:c>
      <x:c r="N7" s="3"/>
      <x:c r="O7" s="3"/>
      <x:c r="P7" s="3"/>
      <x:c r="Q7" s="3"/>
    </x:row>
    <x:row r="8" ht="20" customHeight="1">
      <x:c r="C8" s="3" t="str">
        <x:v>Income statement: pretax less tax less net income</x:v>
      </x:c>
      <x:c r="D8" s="71" t="n">
        <x:f>'Statements'!D18-'Statements'!D19-'Statements'!D20</x:f>
        <x:v>0</x:v>
      </x:c>
      <x:c r="E8" s="71" t="n">
        <x:f>'Statements'!E18-'Statements'!E19-'Statements'!E20</x:f>
        <x:v>0</x:v>
      </x:c>
      <x:c r="F8" s="71" t="n">
        <x:f>'Statements'!F18-'Statements'!F19-'Statements'!F20</x:f>
        <x:v>0</x:v>
      </x:c>
      <x:c r="G8" s="71" t="n">
        <x:f>'Statements'!G18-'Statements'!G19-'Statements'!G20</x:f>
        <x:v>0</x:v>
      </x:c>
      <x:c r="H8" s="71" t="n">
        <x:f>'Statements'!H18-'Statements'!H19-'Statements'!H20</x:f>
        <x:v>0</x:v>
      </x:c>
      <x:c r="I8" s="73" t="n">
        <x:f>'Statements'!I18-'Statements'!I19-'Statements'!I20</x:f>
        <x:v>0</x:v>
      </x:c>
      <x:c r="J8" s="73" t="n">
        <x:f>'Statements'!J18-'Statements'!J19-'Statements'!J20</x:f>
        <x:v>0</x:v>
      </x:c>
      <x:c r="K8" s="73" t="n">
        <x:f>'Statements'!K18-'Statements'!K19-'Statements'!K20</x:f>
        <x:v>0</x:v>
      </x:c>
      <x:c r="L8" s="73" t="n">
        <x:f>'Statements'!L18-'Statements'!L19-'Statements'!L20</x:f>
        <x:v>0</x:v>
      </x:c>
      <x:c r="M8" s="73" t="n">
        <x:f>'Statements'!M18-'Statements'!M19-'Statements'!M20</x:f>
        <x:v>0</x:v>
      </x:c>
      <x:c r="N8" s="3"/>
      <x:c r="O8" s="3"/>
      <x:c r="P8" s="3"/>
      <x:c r="Q8" s="3"/>
    </x:row>
    <x:row r="9" ht="20" customHeight="1">
      <x:c r="C9" s="3" t="str">
        <x:v>Cash flow: beginning + change less ending</x:v>
      </x:c>
      <x:c r="D9" s="71" t="n">
        <x:f>SUM('Statements'!D95:D96)-'Statements'!D97</x:f>
        <x:v>0</x:v>
      </x:c>
      <x:c r="E9" s="71" t="n">
        <x:f>SUM('Statements'!E95:E96)-'Statements'!E97</x:f>
        <x:v>0</x:v>
      </x:c>
      <x:c r="F9" s="71" t="n">
        <x:f>SUM('Statements'!F95:F96)-'Statements'!F97</x:f>
        <x:v>0</x:v>
      </x:c>
      <x:c r="G9" s="71" t="n">
        <x:f>SUM('Statements'!G95:G96)-'Statements'!G97</x:f>
        <x:v>0</x:v>
      </x:c>
      <x:c r="H9" s="71" t="n">
        <x:f>SUM('Statements'!H95:H96)-'Statements'!H97</x:f>
        <x:v>0</x:v>
      </x:c>
      <x:c r="I9" s="73" t="n">
        <x:f>SUM('Statements'!I95:I96)-'Statements'!I97</x:f>
        <x:v>0</x:v>
      </x:c>
      <x:c r="J9" s="73" t="n">
        <x:f>SUM('Statements'!J95:J96)-'Statements'!J97</x:f>
        <x:v>0</x:v>
      </x:c>
      <x:c r="K9" s="73" t="n">
        <x:f>SUM('Statements'!K95:K96)-'Statements'!K97</x:f>
        <x:v>0</x:v>
      </x:c>
      <x:c r="L9" s="73" t="n">
        <x:f>SUM('Statements'!L95:L96)-'Statements'!L97</x:f>
        <x:v>0</x:v>
      </x:c>
      <x:c r="M9" s="73" t="n">
        <x:f>SUM('Statements'!M95:M96)-'Statements'!M97</x:f>
        <x:v>0</x:v>
      </x:c>
      <x:c r="N9" s="3"/>
      <x:c r="O9" s="3"/>
      <x:c r="P9" s="3"/>
      <x:c r="Q9" s="3"/>
    </x:row>
    <x:row r="10" ht="20" customHeight="1">
      <x:c r="C10" s="3" t="str">
        <x:v>Cash flow: total operating adjustments less CFO</x:v>
      </x:c>
      <x:c r="D10" s="71" t="n">
        <x:f>SUM('Statements'!D63:D76)-'Statements'!D77</x:f>
        <x:v>0</x:v>
      </x:c>
      <x:c r="E10" s="71" t="n">
        <x:f>SUM('Statements'!E63:E76)-'Statements'!E77</x:f>
        <x:v>0</x:v>
      </x:c>
      <x:c r="F10" s="71" t="n">
        <x:f>SUM('Statements'!F63:F76)-'Statements'!F77</x:f>
        <x:v>0</x:v>
      </x:c>
      <x:c r="G10" s="71" t="n">
        <x:f>SUM('Statements'!G63:G76)-'Statements'!G77</x:f>
        <x:v>0</x:v>
      </x:c>
      <x:c r="H10" s="71" t="n">
        <x:f>SUM('Statements'!H63:H76)-'Statements'!H77</x:f>
        <x:v>0</x:v>
      </x:c>
      <x:c r="I10" s="73" t="n">
        <x:f>SUM('Statements'!I63:I76)-'Statements'!I77</x:f>
        <x:v>0</x:v>
      </x:c>
      <x:c r="J10" s="73" t="n">
        <x:f>SUM('Statements'!J63:J76)-'Statements'!J77</x:f>
        <x:v>0</x:v>
      </x:c>
      <x:c r="K10" s="73" t="n">
        <x:f>SUM('Statements'!K63:K76)-'Statements'!K77</x:f>
        <x:v>0</x:v>
      </x:c>
      <x:c r="L10" s="73" t="n">
        <x:f>SUM('Statements'!L63:L76)-'Statements'!L77</x:f>
        <x:v>0</x:v>
      </x:c>
      <x:c r="M10" s="73" t="n">
        <x:f>SUM('Statements'!M63:M76)-'Statements'!M77</x:f>
        <x:v>0</x:v>
      </x:c>
      <x:c r="N10" s="3"/>
      <x:c r="O10" s="3"/>
      <x:c r="P10" s="3"/>
      <x:c r="Q10" s="3"/>
    </x:row>
    <x:row r="11" ht="20" customHeight="1">
      <x:c r="C11" s="3" t="str">
        <x:v>Forecast segment operating income less statement</x:v>
      </x:c>
      <x:c r="D11" s="71"/>
      <x:c r="E11" s="71"/>
      <x:c r="F11" s="71"/>
      <x:c r="G11" s="71"/>
      <x:c r="H11" s="71"/>
      <x:c r="I11" s="73" t="n">
        <x:f>'Revenue'!I31-'Statements'!I13</x:f>
        <x:v>-2.9103830456733704e-11</x:v>
      </x:c>
      <x:c r="J11" s="73" t="n">
        <x:f>'Revenue'!J31-'Statements'!J13</x:f>
        <x:v>2.9103830456733704e-11</x:v>
      </x:c>
      <x:c r="K11" s="73" t="n">
        <x:f>'Revenue'!K31-'Statements'!K13</x:f>
        <x:v>0</x:v>
      </x:c>
      <x:c r="L11" s="73" t="n">
        <x:f>'Revenue'!L31-'Statements'!L13</x:f>
        <x:v>0</x:v>
      </x:c>
      <x:c r="M11" s="73" t="n">
        <x:f>'Revenue'!M31-'Statements'!M13</x:f>
        <x:v>5.820766091346741e-11</x:v>
      </x:c>
      <x:c r="N11" s="3"/>
      <x:c r="O11" s="3"/>
      <x:c r="P11" s="3"/>
      <x:c r="Q11" s="3"/>
    </x:row>
    <x:row r="12" ht="20" customHeight="1">
      <x:c r="C12" s="3" t="str">
        <x:v>PP&amp;E: opening + additions - depreciation - closing</x:v>
      </x:c>
      <x:c r="D12" s="71"/>
      <x:c r="E12" s="71"/>
      <x:c r="F12" s="71"/>
      <x:c r="G12" s="71"/>
      <x:c r="H12" s="71"/>
      <x:c r="I12" s="73" t="n">
        <x:f>'Capital'!I22+'Capital'!I11-'Capital'!I20-'Statements'!I31</x:f>
        <x:v>0</x:v>
      </x:c>
      <x:c r="J12" s="73" t="n">
        <x:f>'Capital'!J22+'Capital'!J11-'Capital'!J20-'Statements'!J31</x:f>
        <x:v>0</x:v>
      </x:c>
      <x:c r="K12" s="73" t="n">
        <x:f>'Capital'!K22+'Capital'!K11-'Capital'!K20-'Statements'!K31</x:f>
        <x:v>0</x:v>
      </x:c>
      <x:c r="L12" s="73" t="n">
        <x:f>'Capital'!L22+'Capital'!L11-'Capital'!L20-'Statements'!L31</x:f>
        <x:v>0</x:v>
      </x:c>
      <x:c r="M12" s="73" t="n">
        <x:f>'Capital'!M22+'Capital'!M11-'Capital'!M20-'Statements'!M31</x:f>
        <x:v>0</x:v>
      </x:c>
      <x:c r="N12" s="3"/>
      <x:c r="O12" s="3"/>
      <x:c r="P12" s="3"/>
      <x:c r="Q12" s="3"/>
    </x:row>
    <x:row r="13" ht="20" customHeight="1">
      <x:c r="C13" s="3" t="str">
        <x:v>Finance leases: opening + new - principal - closing</x:v>
      </x:c>
      <x:c r="D13" s="71"/>
      <x:c r="E13" s="71"/>
      <x:c r="F13" s="71"/>
      <x:c r="G13" s="71"/>
      <x:c r="H13" s="71"/>
      <x:c r="I13" s="73" t="n">
        <x:f>SUM('Actuals'!H44,'Actuals'!H53)+'Capital'!I9-'Capital'!I41-SUM('Statements'!I44,'Statements'!I53)</x:f>
        <x:v>0</x:v>
      </x:c>
      <x:c r="J13" s="73" t="n">
        <x:f>'Capital'!I39+'Capital'!J9-'Capital'!J41-SUM('Statements'!J44,'Statements'!J53)</x:f>
        <x:v>0</x:v>
      </x:c>
      <x:c r="K13" s="73" t="n">
        <x:f>'Capital'!J39+'Capital'!K9-'Capital'!K41-SUM('Statements'!K44,'Statements'!K53)</x:f>
        <x:v>0</x:v>
      </x:c>
      <x:c r="L13" s="73" t="n">
        <x:f>'Capital'!K39+'Capital'!L9-'Capital'!L41-SUM('Statements'!L44,'Statements'!L53)</x:f>
        <x:v>1.4551915228366852e-11</x:v>
      </x:c>
      <x:c r="M13" s="73" t="n">
        <x:f>'Capital'!L39+'Capital'!M9-'Capital'!M41-SUM('Statements'!M44,'Statements'!M53)</x:f>
        <x:v>0</x:v>
      </x:c>
      <x:c r="N13" s="3"/>
      <x:c r="O13" s="3"/>
      <x:c r="P13" s="3"/>
      <x:c r="Q13" s="3"/>
    </x:row>
    <x:row r="14" ht="20" customHeight="1">
      <x:c r="C14" s="3" t="str">
        <x:v>Corporate debt: opening + issued - repaid - closing</x:v>
      </x:c>
      <x:c r="D14" s="71"/>
      <x:c r="E14" s="71"/>
      <x:c r="F14" s="71"/>
      <x:c r="G14" s="71"/>
      <x:c r="H14" s="71"/>
      <x:c r="I14" s="73" t="n">
        <x:f>'Funding'!I7+'Funding'!I9-'Funding'!I8-SUM('Statements'!I45,'Statements'!I47)</x:f>
        <x:v>0</x:v>
      </x:c>
      <x:c r="J14" s="73" t="n">
        <x:f>'Funding'!J7+'Funding'!J9-'Funding'!J8-SUM('Statements'!J45,'Statements'!J47)</x:f>
        <x:v>0</x:v>
      </x:c>
      <x:c r="K14" s="73" t="n">
        <x:f>'Funding'!K7+'Funding'!K9-'Funding'!K8-SUM('Statements'!K45,'Statements'!K47)</x:f>
        <x:v>0</x:v>
      </x:c>
      <x:c r="L14" s="73" t="n">
        <x:f>'Funding'!L7+'Funding'!L9-'Funding'!L8-SUM('Statements'!L45,'Statements'!L47)</x:f>
        <x:v>0</x:v>
      </x:c>
      <x:c r="M14" s="73" t="n">
        <x:f>'Funding'!M7+'Funding'!M9-'Funding'!M8-SUM('Statements'!M45,'Statements'!M47)</x:f>
        <x:v>0</x:v>
      </x:c>
      <x:c r="N14" s="3"/>
      <x:c r="O14" s="3"/>
      <x:c r="P14" s="3"/>
      <x:c r="Q14" s="3"/>
    </x:row>
    <x:row r="15" ht="20" customHeight="1">
      <x:c r="C15" s="3" t="str">
        <x:v>Equity: opening + NI + SBC + issuance - distributions</x:v>
      </x:c>
      <x:c r="D15" s="71"/>
      <x:c r="E15" s="71"/>
      <x:c r="F15" s="71"/>
      <x:c r="G15" s="71"/>
      <x:c r="H15" s="71"/>
      <x:c r="I15" s="73" t="n">
        <x:f>'Statements'!H59+'Statements'!I20+'Statements'!I65+'Statements'!I87+'Statements'!I88+'Statements'!I89-'Statements'!I59</x:f>
        <x:v>1.1641532182693481e-10</x:v>
      </x:c>
      <x:c r="J15" s="73" t="n">
        <x:f>'Statements'!I59+'Statements'!J20+'Statements'!J65+'Statements'!J87+'Statements'!J88+'Statements'!J89-'Statements'!J59</x:f>
        <x:v>-1.1641532182693481e-10</x:v>
      </x:c>
      <x:c r="K15" s="73" t="n">
        <x:f>'Statements'!J59+'Statements'!K20+'Statements'!K65+'Statements'!K87+'Statements'!K88+'Statements'!K89-'Statements'!K59</x:f>
        <x:v>-1.1641532182693481e-10</x:v>
      </x:c>
      <x:c r="L15" s="73" t="n">
        <x:f>'Statements'!K59+'Statements'!L20+'Statements'!L65+'Statements'!L87+'Statements'!L88+'Statements'!L89-'Statements'!L59</x:f>
        <x:v>0</x:v>
      </x:c>
      <x:c r="M15" s="73" t="n">
        <x:f>'Statements'!L59+'Statements'!M20+'Statements'!M65+'Statements'!M87+'Statements'!M88+'Statements'!M89-'Statements'!M59</x:f>
        <x:v>2.3283064365386963e-10</x:v>
      </x:c>
      <x:c r="N15" s="3"/>
      <x:c r="O15" s="3"/>
      <x:c r="P15" s="3"/>
      <x:c r="Q15" s="3"/>
    </x:row>
    <x:row r="16" ht="20" customHeight="1">
      <x:c r="C16" s="3" t="str">
        <x:v>Operating expense allocation less 100%</x:v>
      </x:c>
      <x:c r="D16" s="71"/>
      <x:c r="E16" s="71"/>
      <x:c r="F16" s="71"/>
      <x:c r="G16" s="71"/>
      <x:c r="H16" s="71"/>
      <x:c r="I16" s="73" t="n">
        <x:f>SUM('Assumptions'!I12:I14)-1</x:f>
        <x:v>0</x:v>
      </x:c>
      <x:c r="J16" s="73" t="n">
        <x:f>SUM('Assumptions'!J12:J14)-1</x:f>
        <x:v>0</x:v>
      </x:c>
      <x:c r="K16" s="73" t="n">
        <x:f>SUM('Assumptions'!K12:K14)-1</x:f>
        <x:v>0</x:v>
      </x:c>
      <x:c r="L16" s="73" t="n">
        <x:f>SUM('Assumptions'!L12:L14)-1</x:f>
        <x:v>0</x:v>
      </x:c>
      <x:c r="M16" s="73" t="n">
        <x:f>SUM('Assumptions'!M12:M14)-1</x:f>
        <x:v>0</x:v>
      </x:c>
      <x:c r="N16" s="3"/>
      <x:c r="O16" s="3"/>
      <x:c r="P16" s="3"/>
      <x:c r="Q16" s="3"/>
    </x:row>
    <x:row r="17" ht="20" customHeight="1">
      <x:c r="C17" s="3" t="str">
        <x:v>Funding shortfall: negative cash</x:v>
      </x:c>
      <x:c r="D17" s="71"/>
      <x:c r="E17" s="71"/>
      <x:c r="F17" s="71"/>
      <x:c r="G17" s="71"/>
      <x:c r="H17" s="71"/>
      <x:c r="I17" s="73" t="n">
        <x:f>MIN(0,'Statements'!I25)</x:f>
        <x:v>0</x:v>
      </x:c>
      <x:c r="J17" s="73" t="n">
        <x:f>MIN(0,'Statements'!J25)</x:f>
        <x:v>0</x:v>
      </x:c>
      <x:c r="K17" s="73" t="n">
        <x:f>MIN(0,'Statements'!K25)</x:f>
        <x:v>0</x:v>
      </x:c>
      <x:c r="L17" s="73" t="n">
        <x:f>MIN(0,'Statements'!L25)</x:f>
        <x:v>0</x:v>
      </x:c>
      <x:c r="M17" s="73" t="n">
        <x:f>MIN(0,'Statements'!M25)</x:f>
        <x:v>0</x:v>
      </x:c>
      <x:c r="N17" s="3"/>
      <x:c r="O17" s="3"/>
      <x:c r="P17" s="3"/>
      <x:c r="Q17" s="3"/>
    </x:row>
    <x:row r="18" ht="20" customHeight="1">
      <x:c r="C18" s="3" t="str">
        <x:v>Working capital change ties to cash flow</x:v>
      </x:c>
      <x:c r="D18" s="71"/>
      <x:c r="E18" s="71"/>
      <x:c r="F18" s="71"/>
      <x:c r="G18" s="71"/>
      <x:c r="H18" s="71"/>
      <x:c r="I18" s="73" t="n">
        <x:f>'DCF'!I13-SUM('Statements'!I68:'Statements'!I75)</x:f>
        <x:v>-3.637978807091713e-12</x:v>
      </x:c>
      <x:c r="J18" s="73" t="n">
        <x:f>'DCF'!J13-SUM('Statements'!J68:'Statements'!J75)</x:f>
        <x:v>9.094947017729282e-12</x:v>
      </x:c>
      <x:c r="K18" s="73" t="n">
        <x:f>'DCF'!K13-SUM('Statements'!K68:'Statements'!K75)</x:f>
        <x:v>-1.1823431123048067e-11</x:v>
      </x:c>
      <x:c r="L18" s="73" t="n">
        <x:f>'DCF'!L13-SUM('Statements'!L68:'Statements'!L75)</x:f>
        <x:v>-8.185452315956354e-12</x:v>
      </x:c>
      <x:c r="M18" s="73" t="n">
        <x:f>'DCF'!M13-SUM('Statements'!M68:'Statements'!M75)</x:f>
        <x:v>3.456079866737127e-11</x:v>
      </x:c>
      <x:c r="N18" s="3"/>
      <x:c r="O18" s="3"/>
      <x:c r="P18" s="3"/>
      <x:c r="Q18" s="3"/>
    </x:row>
    <x:row r="19" ht="20" customHeight="1">
      <x:c r="C19" s="3" t="str">
        <x:v>SBC not added back in DCF: cash-flow bridge</x:v>
      </x:c>
      <x:c r="D19" s="71"/>
      <x:c r="E19" s="71"/>
      <x:c r="F19" s="71"/>
      <x:c r="G19" s="71"/>
      <x:c r="H19" s="71"/>
      <x:c r="I19" s="73" t="n">
        <x:f>'DCF'!I14-('Statements'!I77-'Statements'!I65+('Statements'!I16-'Statements'!I15)*(1-'Assumptions'!I15)-'Capital'!I7-'Capital'!I9)</x:f>
        <x:v>5.093170329928398e-11</x:v>
      </x:c>
      <x:c r="J19" s="73" t="n">
        <x:f>'DCF'!J14-('Statements'!J77-'Statements'!J65+('Statements'!J16-'Statements'!J15)*(1-'Assumptions'!J15)-'Capital'!J7-'Capital'!J9)</x:f>
        <x:v>4.3655745685100555e-11</x:v>
      </x:c>
      <x:c r="K19" s="73" t="n">
        <x:f>'DCF'!K14-('Statements'!K77-'Statements'!K65+('Statements'!K16-'Statements'!K15)*(1-'Assumptions'!K15)-'Capital'!K7-'Capital'!K9)</x:f>
        <x:v>-5.820766091346741e-11</x:v>
      </x:c>
      <x:c r="L19" s="73" t="n">
        <x:f>'DCF'!L14-('Statements'!L77-'Statements'!L65+('Statements'!L16-'Statements'!L15)*(1-'Assumptions'!L15)-'Capital'!L7-'Capital'!L9)</x:f>
        <x:v>2.9103830456733704e-11</x:v>
      </x:c>
      <x:c r="M19" s="73" t="n">
        <x:f>'DCF'!M14-('Statements'!M77-'Statements'!M65+('Statements'!M16-'Statements'!M15)*(1-'Assumptions'!M15)-'Capital'!M7-'Capital'!M9)</x:f>
        <x:v>-5.820766091346741e-11</x:v>
      </x:c>
      <x:c r="N19" s="3"/>
      <x:c r="O19" s="3"/>
      <x:c r="P19" s="3"/>
      <x:c r="Q19" s="3"/>
    </x:row>
    <x:row r="20" ht="20" customHeight="1">
      <x:c r="C20" s="3" t="str">
        <x:v>Basic shares: opening + issued - repurchased - ending</x:v>
      </x:c>
      <x:c r="D20" s="71"/>
      <x:c r="E20" s="71"/>
      <x:c r="F20" s="71"/>
      <x:c r="G20" s="71"/>
      <x:c r="H20" s="71"/>
      <x:c r="I20" s="73" t="n">
        <x:f>'Funding'!I17+'Funding'!I23-'Funding'!I26-'Funding'!I27</x:f>
        <x:v>0</x:v>
      </x:c>
      <x:c r="J20" s="73" t="n">
        <x:f>'Funding'!J17+'Funding'!J23-'Funding'!J26-'Funding'!J27</x:f>
        <x:v>0</x:v>
      </x:c>
      <x:c r="K20" s="73" t="n">
        <x:f>'Funding'!K17+'Funding'!K23-'Funding'!K26-'Funding'!K27</x:f>
        <x:v>0</x:v>
      </x:c>
      <x:c r="L20" s="73" t="n">
        <x:f>'Funding'!L17+'Funding'!L23-'Funding'!L26-'Funding'!L27</x:f>
        <x:v>0</x:v>
      </x:c>
      <x:c r="M20" s="73" t="n">
        <x:f>'Funding'!M17+'Funding'!M23-'Funding'!M26-'Funding'!M27</x:f>
        <x:v>0</x:v>
      </x:c>
      <x:c r="N20" s="3"/>
      <x:c r="O20" s="3"/>
      <x:c r="P20" s="3"/>
      <x:c r="Q20" s="3"/>
    </x:row>
    <x:row r="21" ht="20" customHeight="1">
      <x:c r="C21" s="3"/>
      <x:c r="D21" s="71"/>
      <x:c r="E21" s="71"/>
      <x:c r="F21" s="71"/>
      <x:c r="G21" s="71"/>
      <x:c r="H21" s="71"/>
      <x:c r="I21" s="73"/>
      <x:c r="J21" s="73"/>
      <x:c r="K21" s="73"/>
      <x:c r="L21" s="73"/>
      <x:c r="M21" s="73"/>
      <x:c r="N21" s="3"/>
      <x:c r="O21" s="3"/>
      <x:c r="P21" s="3"/>
      <x:c r="Q21" s="3"/>
    </x:row>
    <x:row r="22" ht="20" customHeight="1">
      <x:c r="C22" s="3"/>
      <x:c r="D22" s="71"/>
      <x:c r="E22" s="71"/>
      <x:c r="F22" s="71"/>
      <x:c r="G22" s="71"/>
      <x:c r="H22" s="71"/>
      <x:c r="I22" s="73"/>
      <x:c r="J22" s="73"/>
      <x:c r="K22" s="73"/>
      <x:c r="L22" s="73"/>
      <x:c r="M22" s="73"/>
      <x:c r="N22" s="3"/>
      <x:c r="O22" s="3"/>
      <x:c r="P22" s="3"/>
      <x:c r="Q22" s="3"/>
    </x:row>
    <x:row r="23" ht="20" customHeight="1">
      <x:c r="C23" s="3" t="str">
        <x:v>DCF sensitivity center less base value</x:v>
      </x:c>
      <x:c r="D23" s="71"/>
      <x:c r="E23" s="71"/>
      <x:c r="F23" s="71"/>
      <x:c r="G23" s="71"/>
      <x:c r="H23" s="71"/>
      <x:c r="I23" s="73" t="n">
        <x:f>'DCF'!I48-'DCF'!D36</x:f>
        <x:v>0</x:v>
      </x:c>
      <x:c r="J23" s="73"/>
      <x:c r="K23" s="73"/>
      <x:c r="L23" s="73"/>
      <x:c r="M23" s="73"/>
      <x:c r="N23" s="3"/>
      <x:c r="O23" s="3"/>
      <x:c r="P23" s="3"/>
      <x:c r="Q23" s="3"/>
    </x:row>
    <x:row r="24" ht="20" customHeight="1">
      <x:c r="C24" s="3" t="str">
        <x:v>WACC must exceed terminal growth (1 = valid)</x:v>
      </x:c>
      <x:c r="D24" s="12"/>
      <x:c r="E24" s="12"/>
      <x:c r="F24" s="12"/>
      <x:c r="G24" s="12"/>
      <x:c r="H24" s="12"/>
      <x:c r="I24" s="5" t="n">
        <x:f>IF('DCF'!D17&gt;'DCF'!D18,1,0)</x:f>
        <x:v>1</x:v>
      </x:c>
      <x:c r="J24" s="5"/>
      <x:c r="K24" s="5"/>
      <x:c r="L24" s="5"/>
      <x:c r="M24" s="5"/>
      <x:c r="N24" s="3"/>
      <x:c r="O24" s="3"/>
      <x:c r="P24" s="3"/>
      <x:c r="Q24" s="3"/>
    </x:row>
    <x:row r="25" ht="20" customHeight="1">
      <x:c r="C25" s="3" t="str">
        <x:v>Terminal ROIC must exceed growth (1 = valid)</x:v>
      </x:c>
      <x:c r="D25" s="12"/>
      <x:c r="E25" s="12"/>
      <x:c r="F25" s="12"/>
      <x:c r="G25" s="12"/>
      <x:c r="H25" s="12"/>
      <x:c r="I25" s="5" t="n">
        <x:f>IF('DCF'!D19&gt;'DCF'!D18,1,0)</x:f>
        <x:v>1</x:v>
      </x:c>
      <x:c r="J25" s="5"/>
      <x:c r="K25" s="5"/>
      <x:c r="L25" s="5"/>
      <x:c r="M25" s="5"/>
      <x:c r="N25" s="3"/>
      <x:c r="O25" s="3"/>
      <x:c r="P25" s="3"/>
      <x:c r="Q25" s="3"/>
    </x:row>
    <x:row r="26" ht="20" customHeight="1">
      <x:c r="C26" s="3"/>
      <x:c r="D26" s="12"/>
      <x:c r="E26" s="12"/>
      <x:c r="F26" s="12"/>
      <x:c r="G26" s="12"/>
      <x:c r="H26" s="12"/>
      <x:c r="I26" s="13"/>
      <x:c r="J26" s="13"/>
      <x:c r="K26" s="13"/>
      <x:c r="L26" s="13"/>
      <x:c r="M26" s="13"/>
      <x:c r="N26" s="3"/>
      <x:c r="O26" s="3"/>
      <x:c r="P26" s="3"/>
      <x:c r="Q26" s="3"/>
    </x:row>
    <x:row r="27" ht="20" customHeight="1">
      <x:c r="C27" s="3"/>
      <x:c r="D27" s="12"/>
      <x:c r="E27" s="12"/>
      <x:c r="F27" s="12"/>
      <x:c r="G27" s="12"/>
      <x:c r="H27" s="12"/>
      <x:c r="I27" s="13"/>
      <x:c r="J27" s="13"/>
      <x:c r="K27" s="13"/>
      <x:c r="L27" s="13"/>
      <x:c r="M27" s="13"/>
      <x:c r="N27" s="3"/>
      <x:c r="O27" s="3"/>
      <x:c r="P27" s="3"/>
      <x:c r="Q27" s="3"/>
    </x:row>
    <x:row r="28" ht="20" customHeight="1">
      <x:c r="C28" s="3" t="str">
        <x:v>Differences must be 0.00. Economic conditions in rows 24–25 must equal 1.</x:v>
      </x:c>
      <x:c r="D28" s="12"/>
      <x:c r="E28" s="12"/>
      <x:c r="F28" s="12"/>
      <x:c r="G28" s="12"/>
      <x:c r="H28" s="12"/>
      <x:c r="I28" s="13"/>
      <x:c r="J28" s="13"/>
      <x:c r="K28" s="13"/>
      <x:c r="L28" s="13"/>
      <x:c r="M28" s="13"/>
      <x:c r="N28" s="3"/>
      <x:c r="O28" s="3"/>
      <x:c r="P28" s="3"/>
      <x:c r="Q28" s="3"/>
    </x:row>
    <x:row r="29" ht="20" customHeight="1">
      <x:c r="C29" s="3"/>
      <x:c r="D29" s="12"/>
      <x:c r="E29" s="12"/>
      <x:c r="F29" s="12"/>
      <x:c r="G29" s="12"/>
      <x:c r="H29" s="12"/>
      <x:c r="I29" s="13"/>
      <x:c r="J29" s="13"/>
      <x:c r="K29" s="13"/>
      <x:c r="L29" s="13"/>
      <x:c r="M29" s="13"/>
      <x:c r="N29" s="3"/>
      <x:c r="O29" s="3"/>
      <x:c r="P29" s="3"/>
      <x:c r="Q29" s="3"/>
    </x:row>
    <x:row r="30" ht="20" customHeight="1">
      <x:c r="C30" s="3" t="str">
        <x:v>Negative cash requires a funding-policy change. No unexplained debt or equity balancing plug is used.</x:v>
      </x:c>
      <x:c r="D30" s="12"/>
      <x:c r="E30" s="12"/>
      <x:c r="F30" s="12"/>
      <x:c r="G30" s="12"/>
      <x:c r="H30" s="12"/>
      <x:c r="I30" s="13"/>
      <x:c r="J30" s="13"/>
      <x:c r="K30" s="13"/>
      <x:c r="L30" s="13"/>
      <x:c r="M30" s="13"/>
      <x:c r="N30" s="3"/>
      <x:c r="O30" s="3"/>
      <x:c r="P30" s="3"/>
      <x:c r="Q30" s="3"/>
    </x:row>
    <x:row r="31" ht="20" customHeight="1">
      <x:c r="C31" s="3"/>
      <x:c r="D31" s="12"/>
      <x:c r="E31" s="12"/>
      <x:c r="F31" s="12"/>
      <x:c r="G31" s="12"/>
      <x:c r="H31" s="12"/>
      <x:c r="I31" s="13"/>
      <x:c r="J31" s="13"/>
      <x:c r="K31" s="13"/>
      <x:c r="L31" s="13"/>
      <x:c r="M31" s="13"/>
      <x:c r="N31" s="3"/>
      <x:c r="O31" s="3"/>
      <x:c r="P31" s="3"/>
      <x:c r="Q31" s="3"/>
    </x:row>
    <x:row r="32" ht="20" customHeight="1">
      <x:c r="C32" s="3" t="str">
        <x:v>Historical sources retain reported acquisition, FX and other adjustments. Forecast assumes these are zero.</x:v>
      </x:c>
      <x:c r="D32" s="12"/>
      <x:c r="E32" s="12"/>
      <x:c r="F32" s="12"/>
      <x:c r="G32" s="12"/>
      <x:c r="H32" s="12"/>
      <x:c r="I32" s="13"/>
      <x:c r="J32" s="13"/>
      <x:c r="K32" s="13"/>
      <x:c r="L32" s="13"/>
      <x:c r="M32" s="13"/>
      <x:c r="N32" s="3"/>
      <x:c r="O32" s="3"/>
      <x:c r="P32" s="3"/>
      <x:c r="Q32" s="3"/>
    </x:row>
    <x:row r="33" ht="20" customHeight="1">
      <x:c r="C33" s="3"/>
      <x:c r="D33" s="12"/>
      <x:c r="E33" s="12"/>
      <x:c r="F33" s="12"/>
      <x:c r="G33" s="12"/>
      <x:c r="H33" s="12"/>
      <x:c r="I33" s="13"/>
      <x:c r="J33" s="13"/>
      <x:c r="K33" s="13"/>
      <x:c r="L33" s="13"/>
      <x:c r="M33" s="13"/>
      <x:c r="N33" s="3"/>
      <x:c r="O33" s="3"/>
      <x:c r="P33" s="3"/>
      <x:c r="Q33" s="3"/>
    </x:row>
    <x:row r="34" ht="20" customHeight="1">
      <x:c r="C34" s="3"/>
      <x:c r="D34" s="12"/>
      <x:c r="E34" s="12"/>
      <x:c r="F34" s="12"/>
      <x:c r="G34" s="12"/>
      <x:c r="H34" s="12"/>
      <x:c r="I34" s="13"/>
      <x:c r="J34" s="13"/>
      <x:c r="K34" s="13"/>
      <x:c r="L34" s="13"/>
      <x:c r="M34" s="13"/>
      <x:c r="N34" s="3"/>
      <x:c r="O34" s="3"/>
      <x:c r="P34" s="3"/>
      <x:c r="Q34" s="3"/>
    </x:row>
    <x:row r="35" ht="20" customHeight="1">
      <x:c r="C35" s="3"/>
      <x:c r="D35" s="12"/>
      <x:c r="E35" s="12"/>
      <x:c r="F35" s="12"/>
      <x:c r="G35" s="12"/>
      <x:c r="H35" s="12"/>
      <x:c r="I35" s="13"/>
      <x:c r="J35" s="13"/>
      <x:c r="K35" s="13"/>
      <x:c r="L35" s="13"/>
      <x:c r="M35" s="13"/>
      <x:c r="N35" s="3"/>
      <x:c r="O35" s="3"/>
      <x:c r="P35" s="3"/>
      <x:c r="Q35" s="3"/>
    </x:row>
    <x:row r="36" ht="20" customHeight="1">
      <x:c r="C36" s="3"/>
      <x:c r="D36" s="12"/>
      <x:c r="E36" s="12"/>
      <x:c r="F36" s="12"/>
      <x:c r="G36" s="12"/>
      <x:c r="H36" s="12"/>
      <x:c r="I36" s="13"/>
      <x:c r="J36" s="13"/>
      <x:c r="K36" s="13"/>
      <x:c r="L36" s="13"/>
      <x:c r="M36" s="13"/>
      <x:c r="N36" s="3"/>
      <x:c r="O36" s="3"/>
      <x:c r="P36" s="3"/>
      <x:c r="Q36" s="3"/>
    </x:row>
    <x:row r="37" ht="20" customHeight="1">
      <x:c r="C37" s="3"/>
      <x:c r="D37" s="12"/>
      <x:c r="E37" s="12"/>
      <x:c r="F37" s="12"/>
      <x:c r="G37" s="12"/>
      <x:c r="H37" s="12"/>
      <x:c r="I37" s="13"/>
      <x:c r="J37" s="13"/>
      <x:c r="K37" s="13"/>
      <x:c r="L37" s="13"/>
      <x:c r="M37" s="13"/>
      <x:c r="N37" s="3"/>
      <x:c r="O37" s="3"/>
      <x:c r="P37" s="3"/>
      <x:c r="Q37" s="3"/>
    </x:row>
    <x:row r="38" ht="20" customHeight="1">
      <x:c r="C38" s="3"/>
      <x:c r="D38" s="12"/>
      <x:c r="E38" s="12"/>
      <x:c r="F38" s="12"/>
      <x:c r="G38" s="12"/>
      <x:c r="H38" s="12"/>
      <x:c r="I38" s="13"/>
      <x:c r="J38" s="13"/>
      <x:c r="K38" s="13"/>
      <x:c r="L38" s="13"/>
      <x:c r="M38" s="13"/>
      <x:c r="N38" s="3"/>
      <x:c r="O38" s="3"/>
      <x:c r="P38" s="3"/>
      <x:c r="Q38" s="3"/>
    </x:row>
    <x:row r="39" ht="20" customHeight="1">
      <x:c r="C39" s="3"/>
      <x:c r="D39" s="12"/>
      <x:c r="E39" s="12"/>
      <x:c r="F39" s="12"/>
      <x:c r="G39" s="12"/>
      <x:c r="H39" s="12"/>
      <x:c r="I39" s="13"/>
      <x:c r="J39" s="13"/>
      <x:c r="K39" s="13"/>
      <x:c r="L39" s="13"/>
      <x:c r="M39" s="13"/>
      <x:c r="N39" s="3"/>
      <x:c r="O39" s="3"/>
      <x:c r="P39" s="3"/>
      <x:c r="Q39" s="3"/>
    </x:row>
    <x:row r="40" ht="20" customHeight="1">
      <x:c r="C40" s="3"/>
      <x:c r="D40" s="12"/>
      <x:c r="E40" s="12"/>
      <x:c r="F40" s="12"/>
      <x:c r="G40" s="12"/>
      <x:c r="H40" s="12"/>
      <x:c r="I40" s="13"/>
      <x:c r="J40" s="13"/>
      <x:c r="K40" s="13"/>
      <x:c r="L40" s="13"/>
      <x:c r="M40" s="13"/>
      <x:c r="N40" s="3"/>
      <x:c r="O40" s="3"/>
      <x:c r="P40" s="3"/>
      <x:c r="Q40" s="3"/>
    </x:row>
    <x:row r="41" ht="20" customHeight="1">
      <x:c r="C41" s="3"/>
      <x:c r="D41" s="12"/>
      <x:c r="E41" s="12"/>
      <x:c r="F41" s="12"/>
      <x:c r="G41" s="12"/>
      <x:c r="H41" s="12"/>
      <x:c r="I41" s="13"/>
      <x:c r="J41" s="13"/>
      <x:c r="K41" s="13"/>
      <x:c r="L41" s="13"/>
      <x:c r="M41" s="13"/>
      <x:c r="N41" s="3"/>
      <x:c r="O41" s="3"/>
      <x:c r="P41" s="3"/>
      <x:c r="Q41" s="3"/>
    </x:row>
    <x:row r="42" ht="20" customHeight="1">
      <x:c r="C42" s="3"/>
      <x:c r="D42" s="12"/>
      <x:c r="E42" s="12"/>
      <x:c r="F42" s="12"/>
      <x:c r="G42" s="12"/>
      <x:c r="H42" s="12"/>
      <x:c r="I42" s="13"/>
      <x:c r="J42" s="13"/>
      <x:c r="K42" s="13"/>
      <x:c r="L42" s="13"/>
      <x:c r="M42" s="13"/>
      <x:c r="N42" s="3"/>
      <x:c r="O42" s="3"/>
      <x:c r="P42" s="3"/>
      <x:c r="Q42" s="3"/>
    </x:row>
    <x:row r="43" ht="20" customHeight="1">
      <x:c r="C43" s="3"/>
      <x:c r="D43" s="12"/>
      <x:c r="E43" s="12"/>
      <x:c r="F43" s="12"/>
      <x:c r="G43" s="12"/>
      <x:c r="H43" s="12"/>
      <x:c r="I43" s="13"/>
      <x:c r="J43" s="13"/>
      <x:c r="K43" s="13"/>
      <x:c r="L43" s="13"/>
      <x:c r="M43" s="13"/>
      <x:c r="N43" s="3"/>
      <x:c r="O43" s="3"/>
      <x:c r="P43" s="3"/>
      <x:c r="Q43" s="3"/>
    </x:row>
    <x:row r="44" ht="20" customHeight="1">
      <x:c r="C44" s="3"/>
      <x:c r="D44" s="12"/>
      <x:c r="E44" s="12"/>
      <x:c r="F44" s="12"/>
      <x:c r="G44" s="12"/>
      <x:c r="H44" s="12"/>
      <x:c r="I44" s="13"/>
      <x:c r="J44" s="13"/>
      <x:c r="K44" s="13"/>
      <x:c r="L44" s="13"/>
      <x:c r="M44" s="13"/>
      <x:c r="N44" s="3"/>
      <x:c r="O44" s="3"/>
      <x:c r="P44" s="3"/>
      <x:c r="Q44" s="3"/>
    </x:row>
    <x:row r="45" ht="20" customHeight="1">
      <x:c r="C45" s="3"/>
      <x:c r="D45" s="12"/>
      <x:c r="E45" s="12"/>
      <x:c r="F45" s="12"/>
      <x:c r="G45" s="12"/>
      <x:c r="H45" s="12"/>
      <x:c r="I45" s="13"/>
      <x:c r="J45" s="13"/>
      <x:c r="K45" s="13"/>
      <x:c r="L45" s="13"/>
      <x:c r="M45" s="13"/>
      <x:c r="N45" s="3"/>
      <x:c r="O45" s="3"/>
      <x:c r="P45" s="3"/>
      <x:c r="Q45" s="3"/>
    </x:row>
    <x:row r="46" ht="20" customHeight="1">
      <x:c r="C46" s="3"/>
      <x:c r="D46" s="12"/>
      <x:c r="E46" s="12"/>
      <x:c r="F46" s="12"/>
      <x:c r="G46" s="12"/>
      <x:c r="H46" s="12"/>
      <x:c r="I46" s="13"/>
      <x:c r="J46" s="13"/>
      <x:c r="K46" s="13"/>
      <x:c r="L46" s="13"/>
      <x:c r="M46" s="13"/>
      <x:c r="N46" s="3"/>
      <x:c r="O46" s="3"/>
      <x:c r="P46" s="3"/>
      <x:c r="Q46" s="3"/>
    </x:row>
    <x:row r="47" ht="20" customHeight="1">
      <x:c r="C47" s="3"/>
      <x:c r="D47" s="12"/>
      <x:c r="E47" s="12"/>
      <x:c r="F47" s="12"/>
      <x:c r="G47" s="12"/>
      <x:c r="H47" s="12"/>
      <x:c r="I47" s="13"/>
      <x:c r="J47" s="13"/>
      <x:c r="K47" s="13"/>
      <x:c r="L47" s="13"/>
      <x:c r="M47" s="13"/>
      <x:c r="N47" s="3"/>
      <x:c r="O47" s="3"/>
      <x:c r="P47" s="3"/>
      <x:c r="Q47" s="3"/>
    </x:row>
    <x:row r="48" ht="20" customHeight="1">
      <x:c r="C48" s="3"/>
      <x:c r="D48" s="12"/>
      <x:c r="E48" s="12"/>
      <x:c r="F48" s="12"/>
      <x:c r="G48" s="12"/>
      <x:c r="H48" s="12"/>
      <x:c r="I48" s="13"/>
      <x:c r="J48" s="13"/>
      <x:c r="K48" s="13"/>
      <x:c r="L48" s="13"/>
      <x:c r="M48" s="13"/>
      <x:c r="N48" s="3"/>
      <x:c r="O48" s="3"/>
      <x:c r="P48" s="3"/>
      <x:c r="Q48" s="3"/>
    </x:row>
    <x:row r="49" ht="20" customHeight="1">
      <x:c r="C49" s="3"/>
      <x:c r="D49" s="12"/>
      <x:c r="E49" s="12"/>
      <x:c r="F49" s="12"/>
      <x:c r="G49" s="12"/>
      <x:c r="H49" s="12"/>
      <x:c r="I49" s="13"/>
      <x:c r="J49" s="13"/>
      <x:c r="K49" s="13"/>
      <x:c r="L49" s="13"/>
      <x:c r="M49" s="13"/>
      <x:c r="N49" s="3"/>
      <x:c r="O49" s="3"/>
      <x:c r="P49" s="3"/>
      <x:c r="Q49" s="3"/>
    </x:row>
    <x:row r="50" ht="20" customHeight="1">
      <x:c r="C50" s="3"/>
      <x:c r="D50" s="12"/>
      <x:c r="E50" s="12"/>
      <x:c r="F50" s="12"/>
      <x:c r="G50" s="12"/>
      <x:c r="H50" s="12"/>
      <x:c r="I50" s="13"/>
      <x:c r="J50" s="13"/>
      <x:c r="K50" s="13"/>
      <x:c r="L50" s="13"/>
      <x:c r="M50" s="13"/>
      <x:c r="N50" s="3"/>
      <x:c r="O50" s="3"/>
      <x:c r="P50" s="3"/>
      <x:c r="Q50" s="3"/>
    </x:row>
    <x:row r="51" ht="20" customHeight="1">
      <x:c r="C51" s="3"/>
      <x:c r="D51" s="12"/>
      <x:c r="E51" s="12"/>
      <x:c r="F51" s="12"/>
      <x:c r="G51" s="12"/>
      <x:c r="H51" s="12"/>
      <x:c r="I51" s="13"/>
      <x:c r="J51" s="13"/>
      <x:c r="K51" s="13"/>
      <x:c r="L51" s="13"/>
      <x:c r="M51" s="13"/>
      <x:c r="N51" s="3"/>
      <x:c r="O51" s="3"/>
      <x:c r="P51" s="3"/>
      <x:c r="Q51" s="3"/>
    </x:row>
    <x:row r="52" ht="20" customHeight="1">
      <x:c r="C52" s="3"/>
      <x:c r="D52" s="12"/>
      <x:c r="E52" s="12"/>
      <x:c r="F52" s="12"/>
      <x:c r="G52" s="12"/>
      <x:c r="H52" s="12"/>
      <x:c r="I52" s="13"/>
      <x:c r="J52" s="13"/>
      <x:c r="K52" s="13"/>
      <x:c r="L52" s="13"/>
      <x:c r="M52" s="13"/>
      <x:c r="N52" s="3"/>
      <x:c r="O52" s="3"/>
      <x:c r="P52" s="3"/>
      <x:c r="Q52" s="3"/>
    </x:row>
    <x:row r="53" ht="20" customHeight="1">
      <x:c r="C53" s="3"/>
      <x:c r="D53" s="12"/>
      <x:c r="E53" s="12"/>
      <x:c r="F53" s="12"/>
      <x:c r="G53" s="12"/>
      <x:c r="H53" s="12"/>
      <x:c r="I53" s="13"/>
      <x:c r="J53" s="13"/>
      <x:c r="K53" s="13"/>
      <x:c r="L53" s="13"/>
      <x:c r="M53" s="13"/>
      <x:c r="N53" s="3"/>
      <x:c r="O53" s="3"/>
      <x:c r="P53" s="3"/>
      <x:c r="Q53" s="3"/>
    </x:row>
    <x:row r="54" ht="20" customHeight="1">
      <x:c r="C54" s="3"/>
      <x:c r="D54" s="12"/>
      <x:c r="E54" s="12"/>
      <x:c r="F54" s="12"/>
      <x:c r="G54" s="12"/>
      <x:c r="H54" s="12"/>
      <x:c r="I54" s="13"/>
      <x:c r="J54" s="13"/>
      <x:c r="K54" s="13"/>
      <x:c r="L54" s="13"/>
      <x:c r="M54" s="13"/>
      <x:c r="N54" s="3"/>
      <x:c r="O54" s="3"/>
      <x:c r="P54" s="3"/>
      <x:c r="Q54" s="3"/>
    </x:row>
    <x:row r="55" ht="20" customHeight="1">
      <x:c r="C55" s="3"/>
      <x:c r="D55" s="12"/>
      <x:c r="E55" s="12"/>
      <x:c r="F55" s="12"/>
      <x:c r="G55" s="12"/>
      <x:c r="H55" s="12"/>
      <x:c r="I55" s="13"/>
      <x:c r="J55" s="13"/>
      <x:c r="K55" s="13"/>
      <x:c r="L55" s="13"/>
      <x:c r="M55" s="13"/>
      <x:c r="N55" s="3"/>
      <x:c r="O55" s="3"/>
      <x:c r="P55" s="3"/>
      <x:c r="Q55" s="3"/>
    </x:row>
    <x:row r="56" ht="20" customHeight="1">
      <x:c r="C56" s="3"/>
      <x:c r="D56" s="12"/>
      <x:c r="E56" s="12"/>
      <x:c r="F56" s="12"/>
      <x:c r="G56" s="12"/>
      <x:c r="H56" s="12"/>
      <x:c r="I56" s="13"/>
      <x:c r="J56" s="13"/>
      <x:c r="K56" s="13"/>
      <x:c r="L56" s="13"/>
      <x:c r="M56" s="13"/>
      <x:c r="N56" s="3"/>
      <x:c r="O56" s="3"/>
      <x:c r="P56" s="3"/>
      <x:c r="Q56" s="3"/>
    </x:row>
    <x:row r="57" ht="20" customHeight="1">
      <x:c r="C57" s="3"/>
      <x:c r="D57" s="12"/>
      <x:c r="E57" s="12"/>
      <x:c r="F57" s="12"/>
      <x:c r="G57" s="12"/>
      <x:c r="H57" s="12"/>
      <x:c r="I57" s="13"/>
      <x:c r="J57" s="13"/>
      <x:c r="K57" s="13"/>
      <x:c r="L57" s="13"/>
      <x:c r="M57" s="13"/>
      <x:c r="N57" s="3"/>
      <x:c r="O57" s="3"/>
      <x:c r="P57" s="3"/>
      <x:c r="Q57" s="3"/>
    </x:row>
    <x:row r="58" ht="20" customHeight="1">
      <x:c r="C58" s="3"/>
      <x:c r="D58" s="12"/>
      <x:c r="E58" s="12"/>
      <x:c r="F58" s="12"/>
      <x:c r="G58" s="12"/>
      <x:c r="H58" s="12"/>
      <x:c r="I58" s="13"/>
      <x:c r="J58" s="13"/>
      <x:c r="K58" s="13"/>
      <x:c r="L58" s="13"/>
      <x:c r="M58" s="13"/>
      <x:c r="N58" s="3"/>
      <x:c r="O58" s="3"/>
      <x:c r="P58" s="3"/>
      <x:c r="Q58" s="3"/>
    </x:row>
    <x:row r="59" ht="20" customHeight="1">
      <x:c r="C59" s="3"/>
      <x:c r="D59" s="12"/>
      <x:c r="E59" s="12"/>
      <x:c r="F59" s="12"/>
      <x:c r="G59" s="12"/>
      <x:c r="H59" s="12"/>
      <x:c r="I59" s="13"/>
      <x:c r="J59" s="13"/>
      <x:c r="K59" s="13"/>
      <x:c r="L59" s="13"/>
      <x:c r="M59" s="13"/>
      <x:c r="N59" s="3"/>
      <x:c r="O59" s="3"/>
      <x:c r="P59" s="3"/>
      <x:c r="Q59" s="3"/>
    </x:row>
    <x:row r="60" ht="20" customHeight="1">
      <x:c r="C60" s="3"/>
      <x:c r="D60" s="12"/>
      <x:c r="E60" s="12"/>
      <x:c r="F60" s="12"/>
      <x:c r="G60" s="12"/>
      <x:c r="H60" s="12"/>
      <x:c r="I60" s="13"/>
      <x:c r="J60" s="13"/>
      <x:c r="K60" s="13"/>
      <x:c r="L60" s="13"/>
      <x:c r="M60" s="13"/>
      <x:c r="N60" s="3"/>
      <x:c r="O60" s="3"/>
      <x:c r="P60" s="3"/>
      <x:c r="Q60" s="3"/>
    </x:row>
    <x:row r="61" ht="20" customHeight="1">
      <x:c r="C61" s="3"/>
      <x:c r="D61" s="12"/>
      <x:c r="E61" s="12"/>
      <x:c r="F61" s="12"/>
      <x:c r="G61" s="12"/>
      <x:c r="H61" s="12"/>
      <x:c r="I61" s="13"/>
      <x:c r="J61" s="13"/>
      <x:c r="K61" s="13"/>
      <x:c r="L61" s="13"/>
      <x:c r="M61" s="13"/>
      <x:c r="N61" s="3"/>
      <x:c r="O61" s="3"/>
      <x:c r="P61" s="3"/>
      <x:c r="Q61" s="3"/>
    </x:row>
    <x:row r="62" ht="20" customHeight="1">
      <x:c r="C62" s="3"/>
      <x:c r="D62" s="12"/>
      <x:c r="E62" s="12"/>
      <x:c r="F62" s="12"/>
      <x:c r="G62" s="12"/>
      <x:c r="H62" s="12"/>
      <x:c r="I62" s="13"/>
      <x:c r="J62" s="13"/>
      <x:c r="K62" s="13"/>
      <x:c r="L62" s="13"/>
      <x:c r="M62" s="13"/>
      <x:c r="N62" s="3"/>
      <x:c r="O62" s="3"/>
      <x:c r="P62" s="3"/>
      <x:c r="Q62" s="3"/>
    </x:row>
    <x:row r="63" ht="20" customHeight="1">
      <x:c r="C63" s="3"/>
      <x:c r="D63" s="12"/>
      <x:c r="E63" s="12"/>
      <x:c r="F63" s="12"/>
      <x:c r="G63" s="12"/>
      <x:c r="H63" s="12"/>
      <x:c r="I63" s="13"/>
      <x:c r="J63" s="13"/>
      <x:c r="K63" s="13"/>
      <x:c r="L63" s="13"/>
      <x:c r="M63" s="13"/>
      <x:c r="N63" s="3"/>
      <x:c r="O63" s="3"/>
      <x:c r="P63" s="3"/>
      <x:c r="Q63" s="3"/>
    </x:row>
    <x:row r="64" ht="20" customHeight="1">
      <x:c r="C64" s="3"/>
      <x:c r="D64" s="12"/>
      <x:c r="E64" s="12"/>
      <x:c r="F64" s="12"/>
      <x:c r="G64" s="12"/>
      <x:c r="H64" s="12"/>
      <x:c r="I64" s="13"/>
      <x:c r="J64" s="13"/>
      <x:c r="K64" s="13"/>
      <x:c r="L64" s="13"/>
      <x:c r="M64" s="13"/>
      <x:c r="N64" s="3"/>
      <x:c r="O64" s="3"/>
      <x:c r="P64" s="3"/>
      <x:c r="Q64" s="3"/>
    </x:row>
    <x:row r="65" ht="20" customHeight="1">
      <x:c r="C65" s="3"/>
      <x:c r="D65" s="12"/>
      <x:c r="E65" s="12"/>
      <x:c r="F65" s="12"/>
      <x:c r="G65" s="12"/>
      <x:c r="H65" s="12"/>
      <x:c r="I65" s="13"/>
      <x:c r="J65" s="13"/>
      <x:c r="K65" s="13"/>
      <x:c r="L65" s="13"/>
      <x:c r="M65" s="13"/>
      <x:c r="N65" s="3"/>
      <x:c r="O65" s="3"/>
      <x:c r="P65" s="3"/>
      <x:c r="Q65" s="3"/>
    </x:row>
    <x:row r="66" ht="20" customHeight="1">
      <x:c r="C66" s="3"/>
      <x:c r="D66" s="12"/>
      <x:c r="E66" s="12"/>
      <x:c r="F66" s="12"/>
      <x:c r="G66" s="12"/>
      <x:c r="H66" s="12"/>
      <x:c r="I66" s="13"/>
      <x:c r="J66" s="13"/>
      <x:c r="K66" s="13"/>
      <x:c r="L66" s="13"/>
      <x:c r="M66" s="13"/>
      <x:c r="N66" s="3"/>
      <x:c r="O66" s="3"/>
      <x:c r="P66" s="3"/>
      <x:c r="Q66" s="3"/>
    </x:row>
    <x:row r="67" ht="20" customHeight="1">
      <x:c r="C67" s="3"/>
      <x:c r="D67" s="12"/>
      <x:c r="E67" s="12"/>
      <x:c r="F67" s="12"/>
      <x:c r="G67" s="12"/>
      <x:c r="H67" s="12"/>
      <x:c r="I67" s="13"/>
      <x:c r="J67" s="13"/>
      <x:c r="K67" s="13"/>
      <x:c r="L67" s="13"/>
      <x:c r="M67" s="13"/>
      <x:c r="N67" s="3"/>
      <x:c r="O67" s="3"/>
      <x:c r="P67" s="3"/>
      <x:c r="Q67" s="3"/>
    </x:row>
    <x:row r="68" ht="20" customHeight="1">
      <x:c r="C68" s="3"/>
      <x:c r="D68" s="12"/>
      <x:c r="E68" s="12"/>
      <x:c r="F68" s="12"/>
      <x:c r="G68" s="12"/>
      <x:c r="H68" s="12"/>
      <x:c r="I68" s="13"/>
      <x:c r="J68" s="13"/>
      <x:c r="K68" s="13"/>
      <x:c r="L68" s="13"/>
      <x:c r="M68" s="13"/>
      <x:c r="N68" s="3"/>
      <x:c r="O68" s="3"/>
      <x:c r="P68" s="3"/>
      <x:c r="Q68" s="3"/>
    </x:row>
    <x:row r="69" ht="20" customHeight="1">
      <x:c r="C69" s="3"/>
      <x:c r="D69" s="12"/>
      <x:c r="E69" s="12"/>
      <x:c r="F69" s="12"/>
      <x:c r="G69" s="12"/>
      <x:c r="H69" s="12"/>
      <x:c r="I69" s="13"/>
      <x:c r="J69" s="13"/>
      <x:c r="K69" s="13"/>
      <x:c r="L69" s="13"/>
      <x:c r="M69" s="13"/>
      <x:c r="N69" s="3"/>
      <x:c r="O69" s="3"/>
      <x:c r="P69" s="3"/>
      <x:c r="Q69" s="3"/>
    </x:row>
    <x:row r="70" ht="20" customHeight="1">
      <x:c r="C70" s="3"/>
      <x:c r="D70" s="12"/>
      <x:c r="E70" s="12"/>
      <x:c r="F70" s="12"/>
      <x:c r="G70" s="12"/>
      <x:c r="H70" s="12"/>
      <x:c r="I70" s="13"/>
      <x:c r="J70" s="13"/>
      <x:c r="K70" s="13"/>
      <x:c r="L70" s="13"/>
      <x:c r="M70" s="13"/>
      <x:c r="N70" s="3"/>
      <x:c r="O70" s="3"/>
      <x:c r="P70" s="3"/>
      <x:c r="Q70" s="3"/>
    </x:row>
    <x:row r="71" ht="20" customHeight="1">
      <x:c r="C71" s="3"/>
      <x:c r="D71" s="12"/>
      <x:c r="E71" s="12"/>
      <x:c r="F71" s="12"/>
      <x:c r="G71" s="12"/>
      <x:c r="H71" s="12"/>
      <x:c r="I71" s="13"/>
      <x:c r="J71" s="13"/>
      <x:c r="K71" s="13"/>
      <x:c r="L71" s="13"/>
      <x:c r="M71" s="13"/>
      <x:c r="N71" s="3"/>
      <x:c r="O71" s="3"/>
      <x:c r="P71" s="3"/>
      <x:c r="Q71" s="3"/>
    </x:row>
    <x:row r="72" ht="20" customHeight="1">
      <x:c r="C72" s="3"/>
      <x:c r="D72" s="12"/>
      <x:c r="E72" s="12"/>
      <x:c r="F72" s="12"/>
      <x:c r="G72" s="12"/>
      <x:c r="H72" s="12"/>
      <x:c r="I72" s="13"/>
      <x:c r="J72" s="13"/>
      <x:c r="K72" s="13"/>
      <x:c r="L72" s="13"/>
      <x:c r="M72" s="13"/>
      <x:c r="N72" s="3"/>
      <x:c r="O72" s="3"/>
      <x:c r="P72" s="3"/>
      <x:c r="Q72" s="3"/>
    </x:row>
    <x:row r="73" ht="20" customHeight="1">
      <x:c r="C73" s="3"/>
      <x:c r="D73" s="12"/>
      <x:c r="E73" s="12"/>
      <x:c r="F73" s="12"/>
      <x:c r="G73" s="12"/>
      <x:c r="H73" s="12"/>
      <x:c r="I73" s="13"/>
      <x:c r="J73" s="13"/>
      <x:c r="K73" s="13"/>
      <x:c r="L73" s="13"/>
      <x:c r="M73" s="13"/>
      <x:c r="N73" s="3"/>
      <x:c r="O73" s="3"/>
      <x:c r="P73" s="3"/>
      <x:c r="Q73" s="3"/>
    </x:row>
    <x:row r="74" ht="20" customHeight="1">
      <x:c r="C74" s="3"/>
      <x:c r="D74" s="12"/>
      <x:c r="E74" s="12"/>
      <x:c r="F74" s="12"/>
      <x:c r="G74" s="12"/>
      <x:c r="H74" s="12"/>
      <x:c r="I74" s="13"/>
      <x:c r="J74" s="13"/>
      <x:c r="K74" s="13"/>
      <x:c r="L74" s="13"/>
      <x:c r="M74" s="13"/>
      <x:c r="N74" s="3"/>
      <x:c r="O74" s="3"/>
      <x:c r="P74" s="3"/>
      <x:c r="Q74" s="3"/>
    </x:row>
    <x:row r="75" ht="20" customHeight="1">
      <x:c r="C75" s="3"/>
      <x:c r="D75" s="12"/>
      <x:c r="E75" s="12"/>
      <x:c r="F75" s="12"/>
      <x:c r="G75" s="12"/>
      <x:c r="H75" s="12"/>
      <x:c r="I75" s="13"/>
      <x:c r="J75" s="13"/>
      <x:c r="K75" s="13"/>
      <x:c r="L75" s="13"/>
      <x:c r="M75" s="13"/>
      <x:c r="N75" s="3"/>
      <x:c r="O75" s="3"/>
      <x:c r="P75" s="3"/>
      <x:c r="Q75" s="3"/>
    </x:row>
    <x:row r="76" ht="20" customHeight="1">
      <x:c r="C76" s="3"/>
      <x:c r="D76" s="12"/>
      <x:c r="E76" s="12"/>
      <x:c r="F76" s="12"/>
      <x:c r="G76" s="12"/>
      <x:c r="H76" s="12"/>
      <x:c r="I76" s="13"/>
      <x:c r="J76" s="13"/>
      <x:c r="K76" s="13"/>
      <x:c r="L76" s="13"/>
      <x:c r="M76" s="13"/>
      <x:c r="N76" s="3"/>
      <x:c r="O76" s="3"/>
      <x:c r="P76" s="3"/>
      <x:c r="Q76" s="3"/>
    </x:row>
    <x:row r="77" ht="20" customHeight="1">
      <x:c r="C77" s="3"/>
      <x:c r="D77" s="12"/>
      <x:c r="E77" s="12"/>
      <x:c r="F77" s="12"/>
      <x:c r="G77" s="12"/>
      <x:c r="H77" s="12"/>
      <x:c r="I77" s="13"/>
      <x:c r="J77" s="13"/>
      <x:c r="K77" s="13"/>
      <x:c r="L77" s="13"/>
      <x:c r="M77" s="13"/>
      <x:c r="N77" s="3"/>
      <x:c r="O77" s="3"/>
      <x:c r="P77" s="3"/>
      <x:c r="Q77" s="3"/>
    </x:row>
    <x:row r="78" ht="20" customHeight="1">
      <x:c r="C78" s="3"/>
      <x:c r="D78" s="12"/>
      <x:c r="E78" s="12"/>
      <x:c r="F78" s="12"/>
      <x:c r="G78" s="12"/>
      <x:c r="H78" s="12"/>
      <x:c r="I78" s="13"/>
      <x:c r="J78" s="13"/>
      <x:c r="K78" s="13"/>
      <x:c r="L78" s="13"/>
      <x:c r="M78" s="13"/>
      <x:c r="N78" s="3"/>
      <x:c r="O78" s="3"/>
      <x:c r="P78" s="3"/>
      <x:c r="Q78" s="3"/>
    </x:row>
    <x:row r="79" ht="20" customHeight="1">
      <x:c r="C79" s="3"/>
      <x:c r="D79" s="12"/>
      <x:c r="E79" s="12"/>
      <x:c r="F79" s="12"/>
      <x:c r="G79" s="12"/>
      <x:c r="H79" s="12"/>
      <x:c r="I79" s="13"/>
      <x:c r="J79" s="13"/>
      <x:c r="K79" s="13"/>
      <x:c r="L79" s="13"/>
      <x:c r="M79" s="13"/>
      <x:c r="N79" s="3"/>
      <x:c r="O79" s="3"/>
      <x:c r="P79" s="3"/>
      <x:c r="Q79" s="3"/>
    </x:row>
    <x:row r="80" ht="20" customHeight="1">
      <x:c r="C80" s="3"/>
      <x:c r="D80" s="12"/>
      <x:c r="E80" s="12"/>
      <x:c r="F80" s="12"/>
      <x:c r="G80" s="12"/>
      <x:c r="H80" s="12"/>
      <x:c r="I80" s="13"/>
      <x:c r="J80" s="13"/>
      <x:c r="K80" s="13"/>
      <x:c r="L80" s="13"/>
      <x:c r="M80" s="13"/>
      <x:c r="N80" s="3"/>
      <x:c r="O80" s="3"/>
      <x:c r="P80" s="3"/>
      <x:c r="Q80" s="3"/>
    </x:row>
    <x:row r="81" ht="20" customHeight="1">
      <x:c r="C81" s="3"/>
      <x:c r="D81" s="12"/>
      <x:c r="E81" s="12"/>
      <x:c r="F81" s="12"/>
      <x:c r="G81" s="12"/>
      <x:c r="H81" s="12"/>
      <x:c r="I81" s="13"/>
      <x:c r="J81" s="13"/>
      <x:c r="K81" s="13"/>
      <x:c r="L81" s="13"/>
      <x:c r="M81" s="13"/>
      <x:c r="N81" s="3"/>
      <x:c r="O81" s="3"/>
      <x:c r="P81" s="3"/>
      <x:c r="Q81" s="3"/>
    </x:row>
    <x:row r="82" ht="20" customHeight="1">
      <x:c r="C82" s="3"/>
      <x:c r="D82" s="12"/>
      <x:c r="E82" s="12"/>
      <x:c r="F82" s="12"/>
      <x:c r="G82" s="12"/>
      <x:c r="H82" s="12"/>
      <x:c r="I82" s="13"/>
      <x:c r="J82" s="13"/>
      <x:c r="K82" s="13"/>
      <x:c r="L82" s="13"/>
      <x:c r="M82" s="13"/>
      <x:c r="N82" s="3"/>
      <x:c r="O82" s="3"/>
      <x:c r="P82" s="3"/>
      <x:c r="Q82" s="3"/>
    </x:row>
    <x:row r="83" ht="20" customHeight="1">
      <x:c r="C83" s="3"/>
      <x:c r="D83" s="12"/>
      <x:c r="E83" s="12"/>
      <x:c r="F83" s="12"/>
      <x:c r="G83" s="12"/>
      <x:c r="H83" s="12"/>
      <x:c r="I83" s="13"/>
      <x:c r="J83" s="13"/>
      <x:c r="K83" s="13"/>
      <x:c r="L83" s="13"/>
      <x:c r="M83" s="13"/>
      <x:c r="N83" s="3"/>
      <x:c r="O83" s="3"/>
      <x:c r="P83" s="3"/>
      <x:c r="Q83" s="3"/>
    </x:row>
    <x:row r="84" ht="20" customHeight="1">
      <x:c r="C84" s="3"/>
      <x:c r="D84" s="12"/>
      <x:c r="E84" s="12"/>
      <x:c r="F84" s="12"/>
      <x:c r="G84" s="12"/>
      <x:c r="H84" s="12"/>
      <x:c r="I84" s="13"/>
      <x:c r="J84" s="13"/>
      <x:c r="K84" s="13"/>
      <x:c r="L84" s="13"/>
      <x:c r="M84" s="13"/>
      <x:c r="N84" s="3"/>
      <x:c r="O84" s="3"/>
      <x:c r="P84" s="3"/>
      <x:c r="Q84" s="3"/>
    </x:row>
    <x:row r="85" ht="20" customHeight="1">
      <x:c r="C85" s="3"/>
      <x:c r="D85" s="12"/>
      <x:c r="E85" s="12"/>
      <x:c r="F85" s="12"/>
      <x:c r="G85" s="12"/>
      <x:c r="H85" s="12"/>
      <x:c r="I85" s="13"/>
      <x:c r="J85" s="13"/>
      <x:c r="K85" s="13"/>
      <x:c r="L85" s="13"/>
      <x:c r="M85" s="13"/>
      <x:c r="N85" s="3"/>
      <x:c r="O85" s="3"/>
      <x:c r="P85" s="3"/>
      <x:c r="Q85" s="3"/>
    </x:row>
    <x:row r="86" ht="20" customHeight="1">
      <x:c r="C86" s="3"/>
      <x:c r="D86" s="12"/>
      <x:c r="E86" s="12"/>
      <x:c r="F86" s="12"/>
      <x:c r="G86" s="12"/>
      <x:c r="H86" s="12"/>
      <x:c r="I86" s="13"/>
      <x:c r="J86" s="13"/>
      <x:c r="K86" s="13"/>
      <x:c r="L86" s="13"/>
      <x:c r="M86" s="13"/>
      <x:c r="N86" s="3"/>
      <x:c r="O86" s="3"/>
      <x:c r="P86" s="3"/>
      <x:c r="Q86" s="3"/>
    </x:row>
    <x:row r="87" ht="20" customHeight="1">
      <x:c r="C87" s="3"/>
      <x:c r="D87" s="12"/>
      <x:c r="E87" s="12"/>
      <x:c r="F87" s="12"/>
      <x:c r="G87" s="12"/>
      <x:c r="H87" s="12"/>
      <x:c r="I87" s="13"/>
      <x:c r="J87" s="13"/>
      <x:c r="K87" s="13"/>
      <x:c r="L87" s="13"/>
      <x:c r="M87" s="13"/>
      <x:c r="N87" s="3"/>
      <x:c r="O87" s="3"/>
      <x:c r="P87" s="3"/>
      <x:c r="Q87" s="3"/>
    </x:row>
    <x:row r="88" ht="20" customHeight="1">
      <x:c r="C88" s="3"/>
      <x:c r="D88" s="12"/>
      <x:c r="E88" s="12"/>
      <x:c r="F88" s="12"/>
      <x:c r="G88" s="12"/>
      <x:c r="H88" s="12"/>
      <x:c r="I88" s="13"/>
      <x:c r="J88" s="13"/>
      <x:c r="K88" s="13"/>
      <x:c r="L88" s="13"/>
      <x:c r="M88" s="13"/>
      <x:c r="N88" s="3"/>
      <x:c r="O88" s="3"/>
      <x:c r="P88" s="3"/>
      <x:c r="Q88" s="3"/>
    </x:row>
    <x:row r="89" ht="20" customHeight="1">
      <x:c r="C89" s="3"/>
      <x:c r="D89" s="12"/>
      <x:c r="E89" s="12"/>
      <x:c r="F89" s="12"/>
      <x:c r="G89" s="12"/>
      <x:c r="H89" s="12"/>
      <x:c r="I89" s="13"/>
      <x:c r="J89" s="13"/>
      <x:c r="K89" s="13"/>
      <x:c r="L89" s="13"/>
      <x:c r="M89" s="13"/>
      <x:c r="N89" s="3"/>
      <x:c r="O89" s="3"/>
      <x:c r="P89" s="3"/>
      <x:c r="Q89" s="3"/>
    </x:row>
    <x:row r="90" ht="20" customHeight="1">
      <x:c r="C90" s="3"/>
      <x:c r="D90" s="12"/>
      <x:c r="E90" s="12"/>
      <x:c r="F90" s="12"/>
      <x:c r="G90" s="12"/>
      <x:c r="H90" s="12"/>
      <x:c r="I90" s="13"/>
      <x:c r="J90" s="13"/>
      <x:c r="K90" s="13"/>
      <x:c r="L90" s="13"/>
      <x:c r="M90" s="13"/>
      <x:c r="N90" s="3"/>
      <x:c r="O90" s="3"/>
      <x:c r="P90" s="3"/>
      <x:c r="Q90" s="3"/>
    </x:row>
  </x:sheetData>
  <x:conditionalFormatting sqref="D6:M23">
    <x:cfRule type="expression" dxfId="0" priority="1">
      <x:formula>ABS(D6)&gt;0.01</x:formula>
    </x:cfRule>
  </x:conditionalFormatting>
  <x:conditionalFormatting sqref="I24:I25">
    <x:cfRule type="cellIs" dxfId="1" priority="2" operator="notEqual">
      <x:formula>1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B7C6C4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7" hidden="0" customWidth="1"/>
    <x:col min="4" max="4" width="13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" hidden="0" customWidth="1"/>
    <x:col min="15" max="15" width="110" hidden="0" customWidth="1"/>
    <x:col min="16" max="16" width="16" hidden="0" customWidth="1"/>
    <x:col min="17" max="17" width="16" hidden="0" customWidth="1"/>
  </x:cols>
  <x:sheetData>
    <x:row r="1" ht="20" customHeight="1"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C2" s="7" t="str">
        <x:v>How to use the model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3"/>
      <x:c r="O2" s="3"/>
      <x:c r="P2" s="3"/>
      <x:c r="Q2" s="3"/>
    </x:row>
    <x:row r="3" ht="20" customHeight="1">
      <x:c r="C3" s="8" t="str">
        <x:v>USD millions except shares (millions), per-share values and rates</x:v>
      </x:c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3"/>
      <x:c r="O3" s="3"/>
      <x:c r="P3" s="3"/>
      <x:c r="Q3" s="3"/>
    </x:row>
    <x:row r="4" ht="24" customHeight="1"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3"/>
      <x:c r="O4" s="3"/>
      <x:c r="P4" s="3"/>
      <x:c r="Q4" s="3"/>
    </x:row>
    <x:row r="5" ht="20" customHeight="1">
      <x:c r="C5" s="3"/>
      <x:c r="D5" s="42"/>
      <x:c r="E5" s="42"/>
      <x:c r="F5" s="42"/>
      <x:c r="G5" s="42"/>
      <x:c r="H5" s="42"/>
      <x:c r="I5" s="74"/>
      <x:c r="J5" s="74"/>
      <x:c r="K5" s="74"/>
      <x:c r="L5" s="74"/>
      <x:c r="M5" s="74"/>
      <x:c r="N5" s="3"/>
      <x:c r="O5" s="3"/>
      <x:c r="P5" s="3"/>
      <x:c r="Q5" s="3"/>
    </x:row>
    <x:row r="6" ht="20" customHeight="1">
      <x:c r="C6" s="17" t="str">
        <x:v>1. Read the overview</x:v>
      </x:c>
      <x:c r="D6" s="42" t="str">
        <x:v>Revenue, profits, cash flows and value update when assumptions change. Amounts are USD millions.</x:v>
      </x:c>
      <x:c r="E6" s="42"/>
      <x:c r="F6" s="42"/>
      <x:c r="G6" s="42"/>
      <x:c r="H6" s="42"/>
      <x:c r="I6" s="74"/>
      <x:c r="J6" s="74"/>
      <x:c r="K6" s="74"/>
      <x:c r="L6" s="74"/>
      <x:c r="M6" s="74"/>
      <x:c r="N6" s="3"/>
      <x:c r="O6" s="3"/>
      <x:c r="P6" s="3"/>
      <x:c r="Q6" s="3"/>
    </x:row>
    <x:row r="7" ht="20" customHeight="1">
      <x:c r="C7" s="3"/>
      <x:c r="D7" s="42"/>
      <x:c r="E7" s="42"/>
      <x:c r="F7" s="42"/>
      <x:c r="G7" s="42"/>
      <x:c r="H7" s="42"/>
      <x:c r="I7" s="74"/>
      <x:c r="J7" s="74"/>
      <x:c r="K7" s="74"/>
      <x:c r="L7" s="74"/>
      <x:c r="M7" s="74"/>
      <x:c r="N7" s="3"/>
      <x:c r="O7" s="3"/>
      <x:c r="P7" s="3"/>
      <x:c r="Q7" s="3"/>
    </x:row>
    <x:row r="8" ht="20" customHeight="1">
      <x:c r="C8" s="17" t="str">
        <x:v>2. Review the assumptions</x:v>
      </x:c>
      <x:c r="D8" s="42" t="str">
        <x:v>The blue inputs on Assumptions are analyst choices. Yellow fill identifies editable forecast inputs.</x:v>
      </x:c>
      <x:c r="E8" s="42"/>
      <x:c r="F8" s="42"/>
      <x:c r="G8" s="42"/>
      <x:c r="H8" s="42"/>
      <x:c r="I8" s="74"/>
      <x:c r="J8" s="74"/>
      <x:c r="K8" s="74"/>
      <x:c r="L8" s="74"/>
      <x:c r="M8" s="74"/>
      <x:c r="N8" s="3"/>
      <x:c r="O8" s="3"/>
      <x:c r="P8" s="3"/>
      <x:c r="Q8" s="3"/>
    </x:row>
    <x:row r="9" ht="20" customHeight="1">
      <x:c r="C9" s="3"/>
      <x:c r="D9" s="42"/>
      <x:c r="E9" s="42"/>
      <x:c r="F9" s="42"/>
      <x:c r="G9" s="42"/>
      <x:c r="H9" s="42"/>
      <x:c r="I9" s="74"/>
      <x:c r="J9" s="74"/>
      <x:c r="K9" s="74"/>
      <x:c r="L9" s="74"/>
      <x:c r="M9" s="74"/>
      <x:c r="N9" s="3"/>
      <x:c r="O9" s="3"/>
      <x:c r="P9" s="3"/>
      <x:c r="Q9" s="3"/>
    </x:row>
    <x:row r="10" ht="20" customHeight="1">
      <x:c r="C10" s="17" t="str">
        <x:v>Revenue growth</x:v>
      </x:c>
      <x:c r="D10" s="42" t="str">
        <x:v>Agents and Infra grows 25%, 22%, 19%, 16%, then 13%. Consumer grows 1%, 3%, 4%, 4%, then 3%.</x:v>
      </x:c>
      <x:c r="E10" s="42"/>
      <x:c r="F10" s="42"/>
      <x:c r="G10" s="42"/>
      <x:c r="H10" s="42"/>
      <x:c r="I10" s="74"/>
      <x:c r="J10" s="74"/>
      <x:c r="K10" s="74"/>
      <x:c r="L10" s="74"/>
      <x:c r="M10" s="74"/>
      <x:c r="N10" s="3"/>
      <x:c r="O10" s="3"/>
      <x:c r="P10" s="3"/>
      <x:c r="Q10" s="3"/>
    </x:row>
    <x:row r="11" ht="20" customHeight="1">
      <x:c r="C11" s="3"/>
      <x:c r="D11" s="42"/>
      <x:c r="E11" s="42"/>
      <x:c r="F11" s="42"/>
      <x:c r="G11" s="42"/>
      <x:c r="H11" s="42"/>
      <x:c r="I11" s="74"/>
      <x:c r="J11" s="74"/>
      <x:c r="K11" s="74"/>
      <x:c r="L11" s="74"/>
      <x:c r="M11" s="74"/>
      <x:c r="N11" s="3"/>
      <x:c r="O11" s="3"/>
      <x:c r="P11" s="3"/>
      <x:c r="Q11" s="3"/>
    </x:row>
    <x:row r="12" ht="20" customHeight="1">
      <x:c r="C12" s="17" t="str">
        <x:v>Margins</x:v>
      </x:c>
      <x:c r="D12" s="42" t="str">
        <x:v>Cash gross margins exclude depreciation and operating rent. Capital calculates both costs and Revenue deducts them.</x:v>
      </x:c>
      <x:c r="E12" s="42"/>
      <x:c r="F12" s="42"/>
      <x:c r="G12" s="42"/>
      <x:c r="H12" s="42"/>
      <x:c r="I12" s="74"/>
      <x:c r="J12" s="74"/>
      <x:c r="K12" s="74"/>
      <x:c r="L12" s="74"/>
      <x:c r="M12" s="74"/>
      <x:c r="N12" s="3"/>
      <x:c r="O12" s="3"/>
      <x:c r="P12" s="3"/>
      <x:c r="Q12" s="3"/>
    </x:row>
    <x:row r="13" ht="20" customHeight="1">
      <x:c r="C13" s="3"/>
      <x:c r="D13" s="42"/>
      <x:c r="E13" s="42"/>
      <x:c r="F13" s="42"/>
      <x:c r="G13" s="42"/>
      <x:c r="H13" s="42"/>
      <x:c r="I13" s="74"/>
      <x:c r="J13" s="74"/>
      <x:c r="K13" s="74"/>
      <x:c r="L13" s="74"/>
      <x:c r="M13" s="74"/>
      <x:c r="N13" s="3"/>
      <x:c r="O13" s="3"/>
      <x:c r="P13" s="3"/>
      <x:c r="Q13" s="3"/>
    </x:row>
    <x:row r="14" ht="20" customHeight="1">
      <x:c r="C14" s="17" t="str">
        <x:v>Operating expenses</x:v>
      </x:c>
      <x:c r="D14" s="42" t="str">
        <x:v>Segment expense ratios decline slowly. R&amp;D, sales/marketing and G&amp;A follow the FY2026 consolidated cost mix.</x:v>
      </x:c>
      <x:c r="E14" s="42"/>
      <x:c r="F14" s="42"/>
      <x:c r="G14" s="42"/>
      <x:c r="H14" s="42"/>
      <x:c r="I14" s="74"/>
      <x:c r="J14" s="74"/>
      <x:c r="K14" s="74"/>
      <x:c r="L14" s="74"/>
      <x:c r="M14" s="74"/>
      <x:c r="N14" s="3"/>
      <x:c r="O14" s="3"/>
      <x:c r="P14" s="3"/>
      <x:c r="Q14" s="3"/>
    </x:row>
    <x:row r="15" ht="20" customHeight="1">
      <x:c r="C15" s="3"/>
      <x:c r="D15" s="42"/>
      <x:c r="E15" s="42"/>
      <x:c r="F15" s="42"/>
      <x:c r="G15" s="42"/>
      <x:c r="H15" s="42"/>
      <x:c r="I15" s="74"/>
      <x:c r="J15" s="74"/>
      <x:c r="K15" s="74"/>
      <x:c r="L15" s="74"/>
      <x:c r="M15" s="74"/>
      <x:c r="N15" s="3"/>
      <x:c r="O15" s="3"/>
      <x:c r="P15" s="3"/>
      <x:c r="Q15" s="3"/>
    </x:row>
    <x:row r="16" ht="20" customHeight="1">
      <x:c r="C16" s="17" t="str">
        <x:v>Cash investment</x:v>
      </x:c>
      <x:c r="D16" s="42" t="str">
        <x:v>Cash capex is 42%, 37%, 32%, 28%, then 25% of sales. These are assumptions, not company guidance.</x:v>
      </x:c>
      <x:c r="E16" s="42"/>
      <x:c r="F16" s="42"/>
      <x:c r="G16" s="42"/>
      <x:c r="H16" s="42"/>
      <x:c r="I16" s="74"/>
      <x:c r="J16" s="74"/>
      <x:c r="K16" s="74"/>
      <x:c r="L16" s="74"/>
      <x:c r="M16" s="74"/>
      <x:c r="N16" s="3"/>
      <x:c r="O16" s="3"/>
      <x:c r="P16" s="3"/>
      <x:c r="Q16" s="3"/>
    </x:row>
    <x:row r="17" ht="20" customHeight="1">
      <x:c r="C17" s="3"/>
      <x:c r="D17" s="42"/>
      <x:c r="E17" s="42"/>
      <x:c r="F17" s="42"/>
      <x:c r="G17" s="42"/>
      <x:c r="H17" s="42"/>
      <x:c r="I17" s="74"/>
      <x:c r="J17" s="74"/>
      <x:c r="K17" s="74"/>
      <x:c r="L17" s="74"/>
      <x:c r="M17" s="74"/>
      <x:c r="N17" s="3"/>
      <x:c r="O17" s="3"/>
      <x:c r="P17" s="3"/>
      <x:c r="Q17" s="3"/>
    </x:row>
    <x:row r="18" ht="20" customHeight="1">
      <x:c r="C18" s="17" t="str">
        <x:v>Capital purchases payable</x:v>
      </x:c>
      <x:c r="D18" s="42" t="str">
        <x:v>Asset additions include capital purchases still unpaid. Capital creditors are excluded from operating working capital.</x:v>
      </x:c>
      <x:c r="E18" s="42"/>
      <x:c r="F18" s="42"/>
      <x:c r="G18" s="42"/>
      <x:c r="H18" s="42"/>
      <x:c r="I18" s="74"/>
      <x:c r="J18" s="74"/>
      <x:c r="K18" s="74"/>
      <x:c r="L18" s="74"/>
      <x:c r="M18" s="74"/>
      <x:c r="N18" s="3"/>
      <x:c r="O18" s="3"/>
      <x:c r="P18" s="3"/>
      <x:c r="Q18" s="3"/>
    </x:row>
    <x:row r="19" ht="20" customHeight="1">
      <x:c r="C19" s="3"/>
      <x:c r="D19" s="42"/>
      <x:c r="E19" s="42"/>
      <x:c r="F19" s="42"/>
      <x:c r="G19" s="42"/>
      <x:c r="H19" s="42"/>
      <x:c r="I19" s="74"/>
      <x:c r="J19" s="74"/>
      <x:c r="K19" s="74"/>
      <x:c r="L19" s="74"/>
      <x:c r="M19" s="74"/>
      <x:c r="N19" s="3"/>
      <x:c r="O19" s="3"/>
      <x:c r="P19" s="3"/>
      <x:c r="Q19" s="3"/>
    </x:row>
    <x:row r="20" ht="20" customHeight="1">
      <x:c r="C20" s="17" t="str">
        <x:v>Depreciation</x:v>
      </x:c>
      <x:c r="D20" s="42" t="str">
        <x:v>Opening depreciable PP&amp;E runs off over an assumed eight years. New equipment uses six years, buildings 25, with half-year additions.</x:v>
      </x:c>
      <x:c r="E20" s="42"/>
      <x:c r="F20" s="42"/>
      <x:c r="G20" s="42"/>
      <x:c r="H20" s="42"/>
      <x:c r="I20" s="74"/>
      <x:c r="J20" s="74"/>
      <x:c r="K20" s="74"/>
      <x:c r="L20" s="74"/>
      <x:c r="M20" s="74"/>
      <x:c r="N20" s="3"/>
      <x:c r="O20" s="3"/>
      <x:c r="P20" s="3"/>
      <x:c r="Q20" s="3"/>
    </x:row>
    <x:row r="21" ht="20" customHeight="1">
      <x:c r="C21" s="3"/>
      <x:c r="D21" s="42"/>
      <x:c r="E21" s="42"/>
      <x:c r="F21" s="42"/>
      <x:c r="G21" s="42"/>
      <x:c r="H21" s="42"/>
      <x:c r="I21" s="74"/>
      <x:c r="J21" s="74"/>
      <x:c r="K21" s="74"/>
      <x:c r="L21" s="74"/>
      <x:c r="M21" s="74"/>
      <x:c r="N21" s="3"/>
      <x:c r="O21" s="3"/>
      <x:c r="P21" s="3"/>
      <x:c r="Q21" s="3"/>
    </x:row>
    <x:row r="22" ht="20" customHeight="1">
      <x:c r="C22" s="17" t="str">
        <x:v>Operating leases</x:v>
      </x:c>
      <x:c r="D22" s="42" t="str">
        <x:v>New operating leases rise with sales. ROU assets and liabilities roll forward and cash rent is an operating expense.</x:v>
      </x:c>
      <x:c r="E22" s="42"/>
      <x:c r="F22" s="42"/>
      <x:c r="G22" s="42"/>
      <x:c r="H22" s="42"/>
      <x:c r="I22" s="74"/>
      <x:c r="J22" s="74"/>
      <x:c r="K22" s="74"/>
      <x:c r="L22" s="74"/>
      <x:c r="M22" s="74"/>
      <x:c r="N22" s="3"/>
      <x:c r="O22" s="3"/>
      <x:c r="P22" s="3"/>
      <x:c r="Q22" s="3"/>
    </x:row>
    <x:row r="23" ht="20" customHeight="1">
      <x:c r="C23" s="3"/>
      <x:c r="D23" s="42"/>
      <x:c r="E23" s="42"/>
      <x:c r="F23" s="42"/>
      <x:c r="G23" s="42"/>
      <x:c r="H23" s="42"/>
      <x:c r="I23" s="74"/>
      <x:c r="J23" s="74"/>
      <x:c r="K23" s="74"/>
      <x:c r="L23" s="74"/>
      <x:c r="M23" s="74"/>
      <x:c r="N23" s="3"/>
      <x:c r="O23" s="3"/>
      <x:c r="P23" s="3"/>
      <x:c r="Q23" s="3"/>
    </x:row>
    <x:row r="24" ht="20" customHeight="1">
      <x:c r="C24" s="17" t="str">
        <x:v>Finance leases</x:v>
      </x:c>
      <x:c r="D24" s="42" t="str">
        <x:v>New finance leases add PP&amp;E and financing debt. Principal is a financing cash outflow. DCF deducts the asset additions.</x:v>
      </x:c>
      <x:c r="E24" s="42"/>
      <x:c r="F24" s="42"/>
      <x:c r="G24" s="42"/>
      <x:c r="H24" s="42"/>
      <x:c r="I24" s="74"/>
      <x:c r="J24" s="74"/>
      <x:c r="K24" s="74"/>
      <x:c r="L24" s="74"/>
      <x:c r="M24" s="74"/>
      <x:c r="N24" s="3"/>
      <x:c r="O24" s="3"/>
      <x:c r="P24" s="3"/>
      <x:c r="Q24" s="3"/>
    </x:row>
    <x:row r="25" ht="20" customHeight="1">
      <x:c r="C25" s="3"/>
      <x:c r="D25" s="42"/>
      <x:c r="E25" s="42"/>
      <x:c r="F25" s="42"/>
      <x:c r="G25" s="42"/>
      <x:c r="H25" s="42"/>
      <x:c r="I25" s="74"/>
      <x:c r="J25" s="74"/>
      <x:c r="K25" s="74"/>
      <x:c r="L25" s="74"/>
      <x:c r="M25" s="74"/>
      <x:c r="N25" s="3"/>
      <x:c r="O25" s="3"/>
      <x:c r="P25" s="3"/>
      <x:c r="Q25" s="3"/>
    </x:row>
    <x:row r="26" ht="20" customHeight="1">
      <x:c r="C26" s="17" t="str">
        <x:v>Working capital</x:v>
      </x:c>
      <x:c r="D26" s="42" t="str">
        <x:v>Receivable, inventory and trade payable days use FY2026 ratios. Other operating balances generally scale with revenue.</x:v>
      </x:c>
      <x:c r="E26" s="42"/>
      <x:c r="F26" s="42"/>
      <x:c r="G26" s="42"/>
      <x:c r="H26" s="42"/>
      <x:c r="I26" s="74"/>
      <x:c r="J26" s="74"/>
      <x:c r="K26" s="74"/>
      <x:c r="L26" s="74"/>
      <x:c r="M26" s="74"/>
      <x:c r="N26" s="3"/>
      <x:c r="O26" s="3"/>
      <x:c r="P26" s="3"/>
      <x:c r="Q26" s="3"/>
    </x:row>
    <x:row r="27" ht="20" customHeight="1">
      <x:c r="C27" s="3"/>
      <x:c r="D27" s="42"/>
      <x:c r="E27" s="42"/>
      <x:c r="F27" s="42"/>
      <x:c r="G27" s="42"/>
      <x:c r="H27" s="42"/>
      <x:c r="I27" s="74"/>
      <x:c r="J27" s="74"/>
      <x:c r="K27" s="74"/>
      <x:c r="L27" s="74"/>
      <x:c r="M27" s="74"/>
      <x:c r="N27" s="3"/>
      <x:c r="O27" s="3"/>
      <x:c r="P27" s="3"/>
      <x:c r="Q27" s="3"/>
    </x:row>
    <x:row r="28" ht="20" customHeight="1">
      <x:c r="C28" s="17" t="str">
        <x:v>Tax and other income</x:v>
      </x:c>
      <x:c r="D28" s="42" t="str">
        <x:v>Tax is 20%. No future one-time investment gains, acquisitions or FX effects are assumed.</x:v>
      </x:c>
      <x:c r="E28" s="42"/>
      <x:c r="F28" s="42"/>
      <x:c r="G28" s="42"/>
      <x:c r="H28" s="42"/>
      <x:c r="I28" s="74"/>
      <x:c r="J28" s="74"/>
      <x:c r="K28" s="74"/>
      <x:c r="L28" s="74"/>
      <x:c r="M28" s="74"/>
      <x:c r="N28" s="3"/>
      <x:c r="O28" s="3"/>
      <x:c r="P28" s="3"/>
      <x:c r="Q28" s="3"/>
    </x:row>
    <x:row r="29" ht="20" customHeight="1">
      <x:c r="C29" s="3"/>
      <x:c r="D29" s="42"/>
      <x:c r="E29" s="42"/>
      <x:c r="F29" s="42"/>
      <x:c r="G29" s="42"/>
      <x:c r="H29" s="42"/>
      <x:c r="I29" s="74"/>
      <x:c r="J29" s="74"/>
      <x:c r="K29" s="74"/>
      <x:c r="L29" s="74"/>
      <x:c r="M29" s="74"/>
      <x:c r="N29" s="3"/>
      <x:c r="O29" s="3"/>
      <x:c r="P29" s="3"/>
      <x:c r="Q29" s="3"/>
    </x:row>
    <x:row r="30" ht="20" customHeight="1">
      <x:c r="C30" s="17" t="str">
        <x:v>Financing</x:v>
      </x:c>
      <x:c r="D30" s="42" t="str">
        <x:v>Corporate maturities are refinanced. Opening liquid assets earn 4%. Debt interest and share prices have separate assumptions.</x:v>
      </x:c>
      <x:c r="E30" s="42"/>
      <x:c r="F30" s="42"/>
      <x:c r="G30" s="42"/>
      <x:c r="H30" s="42"/>
      <x:c r="I30" s="74"/>
      <x:c r="J30" s="74"/>
      <x:c r="K30" s="74"/>
      <x:c r="L30" s="74"/>
      <x:c r="M30" s="74"/>
      <x:c r="N30" s="3"/>
      <x:c r="O30" s="3"/>
      <x:c r="P30" s="3"/>
      <x:c r="Q30" s="3"/>
    </x:row>
    <x:row r="31" ht="20" customHeight="1">
      <x:c r="C31" s="3"/>
      <x:c r="D31" s="42"/>
      <x:c r="E31" s="42"/>
      <x:c r="F31" s="42"/>
      <x:c r="G31" s="42"/>
      <x:c r="H31" s="42"/>
      <x:c r="I31" s="74"/>
      <x:c r="J31" s="74"/>
      <x:c r="K31" s="74"/>
      <x:c r="L31" s="74"/>
      <x:c r="M31" s="74"/>
      <x:c r="N31" s="3"/>
      <x:c r="O31" s="3"/>
      <x:c r="P31" s="3"/>
      <x:c r="Q31" s="3"/>
    </x:row>
    <x:row r="32" ht="20" customHeight="1">
      <x:c r="C32" s="17" t="str">
        <x:v>Capital returns</x:v>
      </x:c>
      <x:c r="D32" s="42" t="str">
        <x:v>Dividends use 20% of positive net income and repurchases 15%. Change them if the model requires more funding.</x:v>
      </x:c>
      <x:c r="E32" s="42"/>
      <x:c r="F32" s="42"/>
      <x:c r="G32" s="42"/>
      <x:c r="H32" s="42"/>
      <x:c r="I32" s="74"/>
      <x:c r="J32" s="74"/>
      <x:c r="K32" s="74"/>
      <x:c r="L32" s="74"/>
      <x:c r="M32" s="74"/>
      <x:c r="N32" s="3"/>
      <x:c r="O32" s="3"/>
      <x:c r="P32" s="3"/>
      <x:c r="Q32" s="3"/>
    </x:row>
    <x:row r="33" ht="20" customHeight="1">
      <x:c r="C33" s="3"/>
      <x:c r="D33" s="42"/>
      <x:c r="E33" s="42"/>
      <x:c r="F33" s="42"/>
      <x:c r="G33" s="42"/>
      <x:c r="H33" s="42"/>
      <x:c r="I33" s="74"/>
      <x:c r="J33" s="74"/>
      <x:c r="K33" s="74"/>
      <x:c r="L33" s="74"/>
      <x:c r="M33" s="74"/>
      <x:c r="N33" s="3"/>
      <x:c r="O33" s="3"/>
      <x:c r="P33" s="3"/>
      <x:c r="Q33" s="3"/>
    </x:row>
    <x:row r="34" ht="20" customHeight="1">
      <x:c r="C34" s="17" t="str">
        <x:v>Stock compensation</x:v>
      </x:c>
      <x:c r="D34" s="42" t="str">
        <x:v>SBC stays in operating expenses. Cash flow adds it back and shares increase. DCF does not add it back.</x:v>
      </x:c>
      <x:c r="E34" s="42"/>
      <x:c r="F34" s="42"/>
      <x:c r="G34" s="42"/>
      <x:c r="H34" s="42"/>
      <x:c r="I34" s="74"/>
      <x:c r="J34" s="74"/>
      <x:c r="K34" s="74"/>
      <x:c r="L34" s="74"/>
      <x:c r="M34" s="74"/>
      <x:c r="N34" s="3"/>
      <x:c r="O34" s="3"/>
      <x:c r="P34" s="3"/>
      <x:c r="Q34" s="3"/>
    </x:row>
    <x:row r="35" ht="20" customHeight="1">
      <x:c r="C35" s="3"/>
      <x:c r="D35" s="42"/>
      <x:c r="E35" s="42"/>
      <x:c r="F35" s="42"/>
      <x:c r="G35" s="42"/>
      <x:c r="H35" s="42"/>
      <x:c r="I35" s="74"/>
      <x:c r="J35" s="74"/>
      <x:c r="K35" s="74"/>
      <x:c r="L35" s="74"/>
      <x:c r="M35" s="74"/>
      <x:c r="N35" s="3"/>
      <x:c r="O35" s="3"/>
      <x:c r="P35" s="3"/>
      <x:c r="Q35" s="3"/>
    </x:row>
    <x:row r="36" ht="20" customHeight="1">
      <x:c r="C36" s="17" t="str">
        <x:v>3. Follow the statements</x:v>
      </x:c>
      <x:c r="D36" s="42" t="str">
        <x:v>Net income, noncash charges and working capital determine CFO. CFO, investing and financing determine cash.</x:v>
      </x:c>
      <x:c r="E36" s="42"/>
      <x:c r="F36" s="42"/>
      <x:c r="G36" s="42"/>
      <x:c r="H36" s="42"/>
      <x:c r="I36" s="74"/>
      <x:c r="J36" s="74"/>
      <x:c r="K36" s="74"/>
      <x:c r="L36" s="74"/>
      <x:c r="M36" s="74"/>
      <x:c r="N36" s="3"/>
      <x:c r="O36" s="3"/>
      <x:c r="P36" s="3"/>
      <x:c r="Q36" s="3"/>
    </x:row>
    <x:row r="37" ht="20" customHeight="1">
      <x:c r="C37" s="3"/>
      <x:c r="D37" s="42"/>
      <x:c r="E37" s="42"/>
      <x:c r="F37" s="42"/>
      <x:c r="G37" s="42"/>
      <x:c r="H37" s="42"/>
      <x:c r="I37" s="74"/>
      <x:c r="J37" s="74"/>
      <x:c r="K37" s="74"/>
      <x:c r="L37" s="74"/>
      <x:c r="M37" s="74"/>
      <x:c r="N37" s="3"/>
      <x:c r="O37" s="3"/>
      <x:c r="P37" s="3"/>
      <x:c r="Q37" s="3"/>
    </x:row>
    <x:row r="38" ht="20" customHeight="1">
      <x:c r="C38" s="17" t="str">
        <x:v>4. Review the DCF</x:v>
      </x:c>
      <x:c r="D38" s="42" t="str">
        <x:v>Unlevered cash flow is after-tax operating profit + D&amp;A - cash capex - finance-lease additions - working-capital investment.</x:v>
      </x:c>
      <x:c r="E38" s="42"/>
      <x:c r="F38" s="42"/>
      <x:c r="G38" s="42"/>
      <x:c r="H38" s="42"/>
      <x:c r="I38" s="74"/>
      <x:c r="J38" s="74"/>
      <x:c r="K38" s="74"/>
      <x:c r="L38" s="74"/>
      <x:c r="M38" s="74"/>
      <x:c r="N38" s="3"/>
      <x:c r="O38" s="3"/>
      <x:c r="P38" s="3"/>
      <x:c r="Q38" s="3"/>
    </x:row>
    <x:row r="39" ht="20" customHeight="1">
      <x:c r="C39" s="3"/>
      <x:c r="D39" s="42"/>
      <x:c r="E39" s="42"/>
      <x:c r="F39" s="42"/>
      <x:c r="G39" s="42"/>
      <x:c r="H39" s="42"/>
      <x:c r="I39" s="74"/>
      <x:c r="J39" s="74"/>
      <x:c r="K39" s="74"/>
      <x:c r="L39" s="74"/>
      <x:c r="M39" s="74"/>
      <x:c r="N39" s="3"/>
      <x:c r="O39" s="3"/>
      <x:c r="P39" s="3"/>
      <x:c r="Q39" s="3"/>
    </x:row>
    <x:row r="40" ht="20" customHeight="1">
      <x:c r="C40" s="17" t="str">
        <x:v>Discount rate</x:v>
      </x:c>
      <x:c r="D40" s="42" t="str">
        <x:v>Cost of equity uses a 5% Treasury, historical beta and 4.46% ERP. Debt includes finance leases. WACC uses market equity weights.</x:v>
      </x:c>
      <x:c r="E40" s="42"/>
      <x:c r="F40" s="42"/>
      <x:c r="G40" s="42"/>
      <x:c r="H40" s="42"/>
      <x:c r="I40" s="74"/>
      <x:c r="J40" s="74"/>
      <x:c r="K40" s="74"/>
      <x:c r="L40" s="74"/>
      <x:c r="M40" s="74"/>
      <x:c r="N40" s="3"/>
      <x:c r="O40" s="3"/>
      <x:c r="P40" s="3"/>
      <x:c r="Q40" s="3"/>
    </x:row>
    <x:row r="41" ht="20" customHeight="1">
      <x:c r="C41" s="3"/>
      <x:c r="D41" s="42"/>
      <x:c r="E41" s="42"/>
      <x:c r="F41" s="42"/>
      <x:c r="G41" s="42"/>
      <x:c r="H41" s="42"/>
      <x:c r="I41" s="74"/>
      <x:c r="J41" s="74"/>
      <x:c r="K41" s="74"/>
      <x:c r="L41" s="74"/>
      <x:c r="M41" s="74"/>
      <x:c r="N41" s="3"/>
      <x:c r="O41" s="3"/>
      <x:c r="P41" s="3"/>
      <x:c r="Q41" s="3"/>
    </x:row>
    <x:row r="42" ht="20" customHeight="1">
      <x:c r="C42" s="17" t="str">
        <x:v>Valuation timing</x:v>
      </x:c>
      <x:c r="D42" s="42" t="str">
        <x:v>Only post-October 26 FY2027 FCF is included. Year-end discounting is used. June balances are rolled with the forecast stub.</x:v>
      </x:c>
      <x:c r="E42" s="42"/>
      <x:c r="F42" s="42"/>
      <x:c r="G42" s="42"/>
      <x:c r="H42" s="42"/>
      <x:c r="I42" s="74"/>
      <x:c r="J42" s="74"/>
      <x:c r="K42" s="74"/>
      <x:c r="L42" s="74"/>
      <x:c r="M42" s="74"/>
      <x:c r="N42" s="3"/>
      <x:c r="O42" s="3"/>
      <x:c r="P42" s="3"/>
      <x:c r="Q42" s="3"/>
    </x:row>
    <x:row r="43" ht="20" customHeight="1">
      <x:c r="C43" s="3"/>
      <x:c r="D43" s="42"/>
      <x:c r="E43" s="42"/>
      <x:c r="F43" s="42"/>
      <x:c r="G43" s="42"/>
      <x:c r="H43" s="42"/>
      <x:c r="I43" s="74"/>
      <x:c r="J43" s="74"/>
      <x:c r="K43" s="74"/>
      <x:c r="L43" s="74"/>
      <x:c r="M43" s="74"/>
      <x:c r="N43" s="3"/>
      <x:c r="O43" s="3"/>
      <x:c r="P43" s="3"/>
      <x:c r="Q43" s="3"/>
    </x:row>
    <x:row r="44" ht="20" customHeight="1">
      <x:c r="C44" s="17" t="str">
        <x:v>Terminal value</x:v>
      </x:c>
      <x:c r="D44" s="42" t="str">
        <x:v>Terminal growth is 3%. Terminal ROIC is 20%. Growth requires reinvestment equal to NOPAT × growth / ROIC.</x:v>
      </x:c>
      <x:c r="E44" s="42"/>
      <x:c r="F44" s="42"/>
      <x:c r="G44" s="42"/>
      <x:c r="H44" s="42"/>
      <x:c r="I44" s="74"/>
      <x:c r="J44" s="74"/>
      <x:c r="K44" s="74"/>
      <x:c r="L44" s="74"/>
      <x:c r="M44" s="74"/>
      <x:c r="N44" s="3"/>
      <x:c r="O44" s="3"/>
      <x:c r="P44" s="3"/>
      <x:c r="Q44" s="3"/>
    </x:row>
    <x:row r="45" ht="20" customHeight="1">
      <x:c r="C45" s="3"/>
      <x:c r="D45" s="42"/>
      <x:c r="E45" s="42"/>
      <x:c r="F45" s="42"/>
      <x:c r="G45" s="42"/>
      <x:c r="H45" s="42"/>
      <x:c r="I45" s="74"/>
      <x:c r="J45" s="74"/>
      <x:c r="K45" s="74"/>
      <x:c r="L45" s="74"/>
      <x:c r="M45" s="74"/>
      <x:c r="N45" s="3"/>
      <x:c r="O45" s="3"/>
      <x:c r="P45" s="3"/>
      <x:c r="Q45" s="3"/>
    </x:row>
    <x:row r="46" ht="20" customHeight="1">
      <x:c r="C46" s="17" t="str">
        <x:v>Equity bridge</x:v>
      </x:c>
      <x:c r="D46" s="42" t="str">
        <x:v>Add estimated cash, short-term and nonoperating investments, less operating cash reserve, corporate debt and finance leases.</x:v>
      </x:c>
      <x:c r="E46" s="42"/>
      <x:c r="F46" s="42"/>
      <x:c r="G46" s="42"/>
      <x:c r="H46" s="42"/>
      <x:c r="I46" s="74"/>
      <x:c r="J46" s="74"/>
      <x:c r="K46" s="74"/>
      <x:c r="L46" s="74"/>
      <x:c r="M46" s="74"/>
      <x:c r="N46" s="3"/>
      <x:c r="O46" s="3"/>
      <x:c r="P46" s="3"/>
      <x:c r="Q46" s="3"/>
    </x:row>
    <x:row r="47" ht="20" customHeight="1">
      <x:c r="C47" s="3"/>
      <x:c r="D47" s="42"/>
      <x:c r="E47" s="42"/>
      <x:c r="F47" s="42"/>
      <x:c r="G47" s="42"/>
      <x:c r="H47" s="42"/>
      <x:c r="I47" s="74"/>
      <x:c r="J47" s="74"/>
      <x:c r="K47" s="74"/>
      <x:c r="L47" s="74"/>
      <x:c r="M47" s="74"/>
      <x:c r="N47" s="3"/>
      <x:c r="O47" s="3"/>
      <x:c r="P47" s="3"/>
      <x:c r="Q47" s="3"/>
    </x:row>
    <x:row r="48" ht="20" customHeight="1">
      <x:c r="C48" s="17" t="str">
        <x:v>Sensitivity</x:v>
      </x:c>
      <x:c r="D48" s="42" t="str">
        <x:v>The DCF tab contains a native What-If Data Table varying WACC and terminal growth. It uses the same valuation formula.</x:v>
      </x:c>
      <x:c r="E48" s="42"/>
      <x:c r="F48" s="42"/>
      <x:c r="G48" s="42"/>
      <x:c r="H48" s="42"/>
      <x:c r="I48" s="74"/>
      <x:c r="J48" s="74"/>
      <x:c r="K48" s="74"/>
      <x:c r="L48" s="74"/>
      <x:c r="M48" s="74"/>
      <x:c r="N48" s="3"/>
      <x:c r="O48" s="3"/>
      <x:c r="P48" s="3"/>
      <x:c r="Q48" s="3"/>
    </x:row>
    <x:row r="49" ht="20" customHeight="1">
      <x:c r="C49" s="3"/>
      <x:c r="D49" s="42"/>
      <x:c r="E49" s="42"/>
      <x:c r="F49" s="42"/>
      <x:c r="G49" s="42"/>
      <x:c r="H49" s="42"/>
      <x:c r="I49" s="74"/>
      <x:c r="J49" s="74"/>
      <x:c r="K49" s="74"/>
      <x:c r="L49" s="74"/>
      <x:c r="M49" s="74"/>
      <x:c r="N49" s="3"/>
      <x:c r="O49" s="3"/>
      <x:c r="P49" s="3"/>
      <x:c r="Q49" s="3"/>
    </x:row>
    <x:row r="50" ht="20" customHeight="1">
      <x:c r="C50" s="17" t="str">
        <x:v>5. Check the model</x:v>
      </x:c>
      <x:c r="D50" s="42" t="str">
        <x:v>Review Checks after every change. Differences must be zero, cash must not be negative, and WACC must exceed terminal growth.</x:v>
      </x:c>
      <x:c r="E50" s="42"/>
      <x:c r="F50" s="42"/>
      <x:c r="G50" s="42"/>
      <x:c r="H50" s="42"/>
      <x:c r="I50" s="74"/>
      <x:c r="J50" s="74"/>
      <x:c r="K50" s="74"/>
      <x:c r="L50" s="74"/>
      <x:c r="M50" s="74"/>
      <x:c r="N50" s="3"/>
      <x:c r="O50" s="3"/>
      <x:c r="P50" s="3"/>
      <x:c r="Q50" s="3"/>
    </x:row>
    <x:row r="51" ht="20" customHeight="1">
      <x:c r="C51" s="3"/>
      <x:c r="D51" s="42"/>
      <x:c r="E51" s="42"/>
      <x:c r="F51" s="42"/>
      <x:c r="G51" s="42"/>
      <x:c r="H51" s="42"/>
      <x:c r="I51" s="74"/>
      <x:c r="J51" s="74"/>
      <x:c r="K51" s="74"/>
      <x:c r="L51" s="74"/>
      <x:c r="M51" s="74"/>
      <x:c r="N51" s="3"/>
      <x:c r="O51" s="3"/>
      <x:c r="P51" s="3"/>
      <x:c r="Q51" s="3"/>
    </x:row>
    <x:row r="52" ht="20" customHeight="1">
      <x:c r="C52" s="17" t="str">
        <x:v>Model simplifications</x:v>
      </x:c>
      <x:c r="D52" s="42" t="str">
        <x:v>This annual model uses aggregate asset lives and lease schedules. It does not forecast acquisitions, disposals or award-level dilution.</x:v>
      </x:c>
      <x:c r="E52" s="42"/>
      <x:c r="F52" s="42"/>
      <x:c r="G52" s="42"/>
      <x:c r="H52" s="42"/>
      <x:c r="I52" s="74"/>
      <x:c r="J52" s="74"/>
      <x:c r="K52" s="74"/>
      <x:c r="L52" s="74"/>
      <x:c r="M52" s="74"/>
      <x:c r="N52" s="3"/>
      <x:c r="O52" s="3"/>
      <x:c r="P52" s="3"/>
      <x:c r="Q52" s="3"/>
    </x:row>
    <x:row r="53" ht="20" customHeight="1">
      <x:c r="C53" s="3"/>
      <x:c r="D53" s="42"/>
      <x:c r="E53" s="42"/>
      <x:c r="F53" s="42"/>
      <x:c r="G53" s="42"/>
      <x:c r="H53" s="42"/>
      <x:c r="I53" s="74"/>
      <x:c r="J53" s="74"/>
      <x:c r="K53" s="74"/>
      <x:c r="L53" s="74"/>
      <x:c r="M53" s="74"/>
      <x:c r="N53" s="3"/>
      <x:c r="O53" s="3"/>
      <x:c r="P53" s="3"/>
      <x:c r="Q53" s="3"/>
    </x:row>
    <x:row r="54" ht="20" customHeight="1">
      <x:c r="C54" s="17" t="str">
        <x:v>Private investments</x:v>
      </x:c>
      <x:c r="D54" s="42" t="str">
        <x:v>Carrying value is not necessarily fair value. DCF D40 lets you test the amount recognized in the equity bridge.</x:v>
      </x:c>
      <x:c r="E54" s="42"/>
      <x:c r="F54" s="42"/>
      <x:c r="G54" s="42"/>
      <x:c r="H54" s="42"/>
      <x:c r="I54" s="74"/>
      <x:c r="J54" s="74"/>
      <x:c r="K54" s="74"/>
      <x:c r="L54" s="74"/>
      <x:c r="M54" s="74"/>
      <x:c r="N54" s="3"/>
      <x:c r="O54" s="3"/>
      <x:c r="P54" s="3"/>
      <x:c r="Q54" s="3"/>
    </x:row>
    <x:row r="55" ht="20" customHeight="1">
      <x:c r="C55" s="3"/>
      <x:c r="D55" s="42"/>
      <x:c r="E55" s="42"/>
      <x:c r="F55" s="42"/>
      <x:c r="G55" s="42"/>
      <x:c r="H55" s="42"/>
      <x:c r="I55" s="74"/>
      <x:c r="J55" s="74"/>
      <x:c r="K55" s="74"/>
      <x:c r="L55" s="74"/>
      <x:c r="M55" s="74"/>
      <x:c r="N55" s="3"/>
      <x:c r="O55" s="3"/>
      <x:c r="P55" s="3"/>
      <x:c r="Q55" s="3"/>
    </x:row>
    <x:row r="56" ht="20" customHeight="1">
      <x:c r="C56" s="17" t="str">
        <x:v>Cash timing</x:v>
      </x:c>
      <x:c r="D56" s="42" t="str">
        <x:v>Even FY2027 cash-flow timing is assumed. Debt, cash and shares on the valuation date are estimates, not a new reported balance sheet.</x:v>
      </x:c>
      <x:c r="E56" s="42"/>
      <x:c r="F56" s="42"/>
      <x:c r="G56" s="42"/>
      <x:c r="H56" s="42"/>
      <x:c r="I56" s="74"/>
      <x:c r="J56" s="74"/>
      <x:c r="K56" s="74"/>
      <x:c r="L56" s="74"/>
      <x:c r="M56" s="74"/>
      <x:c r="N56" s="3"/>
      <x:c r="O56" s="3"/>
      <x:c r="P56" s="3"/>
      <x:c r="Q56" s="3"/>
    </x:row>
    <x:row r="57" ht="20" customHeight="1">
      <x:c r="C57" s="3"/>
      <x:c r="D57" s="42"/>
      <x:c r="E57" s="42"/>
      <x:c r="F57" s="42"/>
      <x:c r="G57" s="42"/>
      <x:c r="H57" s="42"/>
      <x:c r="I57" s="74"/>
      <x:c r="J57" s="74"/>
      <x:c r="K57" s="74"/>
      <x:c r="L57" s="74"/>
      <x:c r="M57" s="74"/>
      <x:c r="N57" s="3"/>
      <x:c r="O57" s="3"/>
      <x:c r="P57" s="3"/>
      <x:c r="Q57" s="3"/>
    </x:row>
    <x:row r="58" ht="20" customHeight="1">
      <x:c r="C58" s="17" t="str">
        <x:v>Before the next refresh</x:v>
      </x:c>
      <x:c r="D58" s="42" t="str">
        <x:v>FY2027 Q1 results are scheduled for October 28, 2026. Replace the stub with reported results when available.</x:v>
      </x:c>
      <x:c r="E58" s="42"/>
      <x:c r="F58" s="42"/>
      <x:c r="G58" s="42"/>
      <x:c r="H58" s="42"/>
      <x:c r="I58" s="74"/>
      <x:c r="J58" s="74"/>
      <x:c r="K58" s="74"/>
      <x:c r="L58" s="74"/>
      <x:c r="M58" s="74"/>
      <x:c r="N58" s="3"/>
      <x:c r="O58" s="3"/>
      <x:c r="P58" s="3"/>
      <x:c r="Q58" s="3"/>
    </x:row>
    <x:row r="59" ht="20" customHeight="1">
      <x:c r="C59" s="3"/>
      <x:c r="D59" s="42"/>
      <x:c r="E59" s="42"/>
      <x:c r="F59" s="42"/>
      <x:c r="G59" s="42"/>
      <x:c r="H59" s="42"/>
      <x:c r="I59" s="74"/>
      <x:c r="J59" s="74"/>
      <x:c r="K59" s="74"/>
      <x:c r="L59" s="74"/>
      <x:c r="M59" s="74"/>
      <x:c r="N59" s="3"/>
      <x:c r="O59" s="3"/>
      <x:c r="P59" s="3"/>
      <x:c r="Q59" s="3"/>
    </x:row>
    <x:row r="60" ht="20" customHeight="1">
      <x:c r="C60" s="17" t="str">
        <x:v>Source: annual report</x:v>
      </x:c>
      <x:c r="D60" s="42" t="str">
        <x:v>https://www.microsoft.com/investor/reports/ar26/index.html</x:v>
      </x:c>
      <x:c r="E60" s="42"/>
      <x:c r="F60" s="42"/>
      <x:c r="G60" s="42"/>
      <x:c r="H60" s="42"/>
      <x:c r="I60" s="74"/>
      <x:c r="J60" s="74"/>
      <x:c r="K60" s="74"/>
      <x:c r="L60" s="74"/>
      <x:c r="M60" s="74"/>
      <x:c r="N60" s="3"/>
      <x:c r="O60" s="3"/>
      <x:c r="P60" s="3"/>
      <x:c r="Q60" s="3"/>
    </x:row>
    <x:row r="61" ht="20" customHeight="1">
      <x:c r="C61" s="3"/>
      <x:c r="D61" s="42"/>
      <x:c r="E61" s="42"/>
      <x:c r="F61" s="42"/>
      <x:c r="G61" s="42"/>
      <x:c r="H61" s="42"/>
      <x:c r="I61" s="74"/>
      <x:c r="J61" s="74"/>
      <x:c r="K61" s="74"/>
      <x:c r="L61" s="74"/>
      <x:c r="M61" s="74"/>
      <x:c r="N61" s="3"/>
      <x:c r="O61" s="3"/>
      <x:c r="P61" s="3"/>
      <x:c r="Q61" s="3"/>
    </x:row>
    <x:row r="62" ht="20" customHeight="1">
      <x:c r="C62" s="17" t="str">
        <x:v>Source: segment recast</x:v>
      </x:c>
      <x:c r="D62" s="42" t="str">
        <x:v>https://www.sec.gov/Archives/edgar/data/789019/000119312526380280/d291965dex991.htm</x:v>
      </x:c>
      <x:c r="E62" s="42"/>
      <x:c r="F62" s="42"/>
      <x:c r="G62" s="42"/>
      <x:c r="H62" s="42"/>
      <x:c r="I62" s="74"/>
      <x:c r="J62" s="74"/>
      <x:c r="K62" s="74"/>
      <x:c r="L62" s="74"/>
      <x:c r="M62" s="74"/>
      <x:c r="N62" s="3"/>
      <x:c r="O62" s="3"/>
      <x:c r="P62" s="3"/>
      <x:c r="Q62" s="3"/>
    </x:row>
    <x:row r="63" ht="20" customHeight="1">
      <x:c r="C63" s="3"/>
      <x:c r="D63" s="42"/>
      <x:c r="E63" s="42"/>
      <x:c r="F63" s="42"/>
      <x:c r="G63" s="42"/>
      <x:c r="H63" s="42"/>
      <x:c r="I63" s="74"/>
      <x:c r="J63" s="74"/>
      <x:c r="K63" s="74"/>
      <x:c r="L63" s="74"/>
      <x:c r="M63" s="74"/>
      <x:c r="N63" s="3"/>
      <x:c r="O63" s="3"/>
      <x:c r="P63" s="3"/>
      <x:c r="Q63" s="3"/>
    </x:row>
    <x:row r="64" ht="20" customHeight="1">
      <x:c r="C64" s="17" t="str">
        <x:v>Source: Treasury</x:v>
      </x:c>
      <x:c r="D64" s="42" t="str">
        <x:v>https://home.treasury.gov/resource-center/data-chart-center/interest-rates/TextView?type=daily_treasury_yield_curve&amp;field_tdr_date_value=2026</x:v>
      </x:c>
      <x:c r="E64" s="42"/>
      <x:c r="F64" s="42"/>
      <x:c r="G64" s="42"/>
      <x:c r="H64" s="42"/>
      <x:c r="I64" s="74"/>
      <x:c r="J64" s="74"/>
      <x:c r="K64" s="74"/>
      <x:c r="L64" s="74"/>
      <x:c r="M64" s="74"/>
      <x:c r="N64" s="3"/>
      <x:c r="O64" s="3"/>
      <x:c r="P64" s="3"/>
      <x:c r="Q64" s="3"/>
    </x:row>
    <x:row r="65" ht="20" customHeight="1">
      <x:c r="C65" s="3"/>
      <x:c r="D65" s="42"/>
      <x:c r="E65" s="42"/>
      <x:c r="F65" s="42"/>
      <x:c r="G65" s="42"/>
      <x:c r="H65" s="42"/>
      <x:c r="I65" s="74"/>
      <x:c r="J65" s="74"/>
      <x:c r="K65" s="74"/>
      <x:c r="L65" s="74"/>
      <x:c r="M65" s="74"/>
      <x:c r="N65" s="3"/>
      <x:c r="O65" s="3"/>
      <x:c r="P65" s="3"/>
      <x:c r="Q65" s="3"/>
    </x:row>
    <x:row r="66" ht="20" customHeight="1">
      <x:c r="C66" s="17" t="str">
        <x:v>Source: ERP</x:v>
      </x:c>
      <x:c r="D66" s="42" t="str">
        <x:v>https://pages.stern.nyu.edu/~adamodar/New_Home_Page/datafile/ctryprem.html</x:v>
      </x:c>
      <x:c r="E66" s="42"/>
      <x:c r="F66" s="42"/>
      <x:c r="G66" s="42"/>
      <x:c r="H66" s="42"/>
      <x:c r="I66" s="74"/>
      <x:c r="J66" s="74"/>
      <x:c r="K66" s="74"/>
      <x:c r="L66" s="74"/>
      <x:c r="M66" s="74"/>
      <x:c r="N66" s="3"/>
      <x:c r="O66" s="3"/>
      <x:c r="P66" s="3"/>
      <x:c r="Q66" s="3"/>
    </x:row>
    <x:row r="67" ht="20" customHeight="1">
      <x:c r="C67" s="3"/>
      <x:c r="D67" s="42"/>
      <x:c r="E67" s="42"/>
      <x:c r="F67" s="42"/>
      <x:c r="G67" s="42"/>
      <x:c r="H67" s="42"/>
      <x:c r="I67" s="74"/>
      <x:c r="J67" s="74"/>
      <x:c r="K67" s="74"/>
      <x:c r="L67" s="74"/>
      <x:c r="M67" s="74"/>
      <x:c r="N67" s="3"/>
      <x:c r="O67" s="3"/>
      <x:c r="P67" s="3"/>
      <x:c r="Q67" s="3"/>
    </x:row>
    <x:row r="68" ht="20" customHeight="1">
      <x:c r="C68" s="17" t="str">
        <x:v>Quote timestamp</x:v>
      </x:c>
      <x:c r="D68" s="42" t="str">
        <x:v>2026-10-26T17:43:48+00:00 UTC; original quote $530.17.</x:v>
      </x:c>
      <x:c r="E68" s="42"/>
      <x:c r="F68" s="42"/>
      <x:c r="G68" s="42"/>
      <x:c r="H68" s="42"/>
      <x:c r="I68" s="74"/>
      <x:c r="J68" s="74"/>
      <x:c r="K68" s="74"/>
      <x:c r="L68" s="74"/>
      <x:c r="M68" s="74"/>
      <x:c r="N68" s="3"/>
      <x:c r="O68" s="3"/>
      <x:c r="P68" s="3"/>
      <x:c r="Q68" s="3"/>
    </x:row>
    <x:row r="69" ht="20" customHeight="1">
      <x:c r="C69" s="3"/>
      <x:c r="D69" s="42"/>
      <x:c r="E69" s="42"/>
      <x:c r="F69" s="42"/>
      <x:c r="G69" s="42"/>
      <x:c r="H69" s="42"/>
      <x:c r="I69" s="74"/>
      <x:c r="J69" s="74"/>
      <x:c r="K69" s="74"/>
      <x:c r="L69" s="74"/>
      <x:c r="M69" s="74"/>
      <x:c r="N69" s="3"/>
      <x:c r="O69" s="3"/>
      <x:c r="P69" s="3"/>
      <x:c r="Q69" s="3"/>
    </x:row>
    <x:row r="70" ht="20" customHeight="1">
      <x:c r="C70" s="3"/>
      <x:c r="D70" s="42"/>
      <x:c r="E70" s="42"/>
      <x:c r="F70" s="42"/>
      <x:c r="G70" s="42"/>
      <x:c r="H70" s="42"/>
      <x:c r="I70" s="74"/>
      <x:c r="J70" s="74"/>
      <x:c r="K70" s="74"/>
      <x:c r="L70" s="74"/>
      <x:c r="M70" s="74"/>
      <x:c r="N70" s="3"/>
      <x:c r="O70" s="3"/>
      <x:c r="P70" s="3"/>
      <x:c r="Q70" s="3"/>
    </x:row>
    <x:row r="71" ht="20" customHeight="1">
      <x:c r="C71" s="3"/>
      <x:c r="D71" s="42"/>
      <x:c r="E71" s="42"/>
      <x:c r="F71" s="42"/>
      <x:c r="G71" s="42"/>
      <x:c r="H71" s="42"/>
      <x:c r="I71" s="74"/>
      <x:c r="J71" s="74"/>
      <x:c r="K71" s="74"/>
      <x:c r="L71" s="74"/>
      <x:c r="M71" s="74"/>
      <x:c r="N71" s="3"/>
      <x:c r="O71" s="3"/>
      <x:c r="P71" s="3"/>
      <x:c r="Q71" s="3"/>
    </x:row>
    <x:row r="72" ht="20" customHeight="1">
      <x:c r="C72" s="3"/>
      <x:c r="D72" s="42"/>
      <x:c r="E72" s="42"/>
      <x:c r="F72" s="42"/>
      <x:c r="G72" s="42"/>
      <x:c r="H72" s="42"/>
      <x:c r="I72" s="74"/>
      <x:c r="J72" s="74"/>
      <x:c r="K72" s="74"/>
      <x:c r="L72" s="74"/>
      <x:c r="M72" s="74"/>
      <x:c r="N72" s="3"/>
      <x:c r="O72" s="3"/>
      <x:c r="P72" s="3"/>
      <x:c r="Q72" s="3"/>
    </x:row>
    <x:row r="73" ht="20" customHeight="1">
      <x:c r="C73" s="3"/>
      <x:c r="D73" s="42"/>
      <x:c r="E73" s="42"/>
      <x:c r="F73" s="42"/>
      <x:c r="G73" s="42"/>
      <x:c r="H73" s="42"/>
      <x:c r="I73" s="74"/>
      <x:c r="J73" s="74"/>
      <x:c r="K73" s="74"/>
      <x:c r="L73" s="74"/>
      <x:c r="M73" s="74"/>
      <x:c r="N73" s="3"/>
      <x:c r="O73" s="3"/>
      <x:c r="P73" s="3"/>
      <x:c r="Q73" s="3"/>
    </x:row>
    <x:row r="74" ht="20" customHeight="1">
      <x:c r="C74" s="3"/>
      <x:c r="D74" s="42"/>
      <x:c r="E74" s="42"/>
      <x:c r="F74" s="42"/>
      <x:c r="G74" s="42"/>
      <x:c r="H74" s="42"/>
      <x:c r="I74" s="74"/>
      <x:c r="J74" s="74"/>
      <x:c r="K74" s="74"/>
      <x:c r="L74" s="74"/>
      <x:c r="M74" s="74"/>
      <x:c r="N74" s="3"/>
      <x:c r="O74" s="3"/>
      <x:c r="P74" s="3"/>
      <x:c r="Q74" s="3"/>
    </x:row>
    <x:row r="75" ht="20" customHeight="1">
      <x:c r="C75" s="3"/>
      <x:c r="D75" s="42"/>
      <x:c r="E75" s="42"/>
      <x:c r="F75" s="42"/>
      <x:c r="G75" s="42"/>
      <x:c r="H75" s="42"/>
      <x:c r="I75" s="74"/>
      <x:c r="J75" s="74"/>
      <x:c r="K75" s="74"/>
      <x:c r="L75" s="74"/>
      <x:c r="M75" s="74"/>
      <x:c r="N75" s="3"/>
      <x:c r="O75" s="3"/>
      <x:c r="P75" s="3"/>
      <x:c r="Q75" s="3"/>
    </x:row>
    <x:row r="76" ht="20" customHeight="1">
      <x:c r="C76" s="3"/>
      <x:c r="D76" s="42"/>
      <x:c r="E76" s="42"/>
      <x:c r="F76" s="42"/>
      <x:c r="G76" s="42"/>
      <x:c r="H76" s="42"/>
      <x:c r="I76" s="74"/>
      <x:c r="J76" s="74"/>
      <x:c r="K76" s="74"/>
      <x:c r="L76" s="74"/>
      <x:c r="M76" s="74"/>
      <x:c r="N76" s="3"/>
      <x:c r="O76" s="3"/>
      <x:c r="P76" s="3"/>
      <x:c r="Q76" s="3"/>
    </x:row>
    <x:row r="77" ht="20" customHeight="1">
      <x:c r="C77" s="3"/>
      <x:c r="D77" s="42"/>
      <x:c r="E77" s="42"/>
      <x:c r="F77" s="42"/>
      <x:c r="G77" s="42"/>
      <x:c r="H77" s="42"/>
      <x:c r="I77" s="74"/>
      <x:c r="J77" s="74"/>
      <x:c r="K77" s="74"/>
      <x:c r="L77" s="74"/>
      <x:c r="M77" s="74"/>
      <x:c r="N77" s="3"/>
      <x:c r="O77" s="3"/>
      <x:c r="P77" s="3"/>
      <x:c r="Q77" s="3"/>
    </x:row>
    <x:row r="78" ht="20" customHeight="1">
      <x:c r="C78" s="3"/>
      <x:c r="D78" s="42"/>
      <x:c r="E78" s="42"/>
      <x:c r="F78" s="42"/>
      <x:c r="G78" s="42"/>
      <x:c r="H78" s="42"/>
      <x:c r="I78" s="74"/>
      <x:c r="J78" s="74"/>
      <x:c r="K78" s="74"/>
      <x:c r="L78" s="74"/>
      <x:c r="M78" s="74"/>
      <x:c r="N78" s="3"/>
      <x:c r="O78" s="3"/>
      <x:c r="P78" s="3"/>
      <x:c r="Q78" s="3"/>
    </x:row>
    <x:row r="79" ht="20" customHeight="1">
      <x:c r="C79" s="3"/>
      <x:c r="D79" s="42"/>
      <x:c r="E79" s="42"/>
      <x:c r="F79" s="42"/>
      <x:c r="G79" s="42"/>
      <x:c r="H79" s="42"/>
      <x:c r="I79" s="74"/>
      <x:c r="J79" s="74"/>
      <x:c r="K79" s="74"/>
      <x:c r="L79" s="74"/>
      <x:c r="M79" s="74"/>
      <x:c r="N79" s="3"/>
      <x:c r="O79" s="3"/>
      <x:c r="P79" s="3"/>
      <x:c r="Q79" s="3"/>
    </x:row>
    <x:row r="80" ht="20" customHeight="1">
      <x:c r="C80" s="3"/>
      <x:c r="D80" s="42"/>
      <x:c r="E80" s="42"/>
      <x:c r="F80" s="42"/>
      <x:c r="G80" s="42"/>
      <x:c r="H80" s="42"/>
      <x:c r="I80" s="74"/>
      <x:c r="J80" s="74"/>
      <x:c r="K80" s="74"/>
      <x:c r="L80" s="74"/>
      <x:c r="M80" s="74"/>
      <x:c r="N80" s="3"/>
      <x:c r="O80" s="3"/>
      <x:c r="P80" s="3"/>
      <x:c r="Q80" s="3"/>
    </x:row>
    <x:row r="81" ht="20" customHeight="1">
      <x:c r="C81" s="3"/>
      <x:c r="D81" s="42"/>
      <x:c r="E81" s="42"/>
      <x:c r="F81" s="42"/>
      <x:c r="G81" s="42"/>
      <x:c r="H81" s="42"/>
      <x:c r="I81" s="74"/>
      <x:c r="J81" s="74"/>
      <x:c r="K81" s="74"/>
      <x:c r="L81" s="74"/>
      <x:c r="M81" s="74"/>
      <x:c r="N81" s="3"/>
      <x:c r="O81" s="3"/>
      <x:c r="P81" s="3"/>
      <x:c r="Q81" s="3"/>
    </x:row>
    <x:row r="82" ht="20" customHeight="1">
      <x:c r="C82" s="3"/>
      <x:c r="D82" s="42"/>
      <x:c r="E82" s="42"/>
      <x:c r="F82" s="42"/>
      <x:c r="G82" s="42"/>
      <x:c r="H82" s="42"/>
      <x:c r="I82" s="74"/>
      <x:c r="J82" s="74"/>
      <x:c r="K82" s="74"/>
      <x:c r="L82" s="74"/>
      <x:c r="M82" s="74"/>
      <x:c r="N82" s="3"/>
      <x:c r="O82" s="3"/>
      <x:c r="P82" s="3"/>
      <x:c r="Q82" s="3"/>
    </x:row>
    <x:row r="83" ht="20" customHeight="1">
      <x:c r="C83" s="3"/>
      <x:c r="D83" s="42"/>
      <x:c r="E83" s="42"/>
      <x:c r="F83" s="42"/>
      <x:c r="G83" s="42"/>
      <x:c r="H83" s="42"/>
      <x:c r="I83" s="74"/>
      <x:c r="J83" s="74"/>
      <x:c r="K83" s="74"/>
      <x:c r="L83" s="74"/>
      <x:c r="M83" s="74"/>
      <x:c r="N83" s="3"/>
      <x:c r="O83" s="3"/>
      <x:c r="P83" s="3"/>
      <x:c r="Q83" s="3"/>
    </x:row>
    <x:row r="84" ht="20" customHeight="1">
      <x:c r="C84" s="3"/>
      <x:c r="D84" s="42"/>
      <x:c r="E84" s="42"/>
      <x:c r="F84" s="42"/>
      <x:c r="G84" s="42"/>
      <x:c r="H84" s="42"/>
      <x:c r="I84" s="74"/>
      <x:c r="J84" s="74"/>
      <x:c r="K84" s="74"/>
      <x:c r="L84" s="74"/>
      <x:c r="M84" s="74"/>
      <x:c r="N84" s="3"/>
      <x:c r="O84" s="3"/>
      <x:c r="P84" s="3"/>
      <x:c r="Q84" s="3"/>
    </x:row>
    <x:row r="85" ht="20" customHeight="1">
      <x:c r="C85" s="3"/>
      <x:c r="D85" s="42"/>
      <x:c r="E85" s="42"/>
      <x:c r="F85" s="42"/>
      <x:c r="G85" s="42"/>
      <x:c r="H85" s="42"/>
      <x:c r="I85" s="74"/>
      <x:c r="J85" s="74"/>
      <x:c r="K85" s="74"/>
      <x:c r="L85" s="74"/>
      <x:c r="M85" s="74"/>
      <x:c r="N85" s="3"/>
      <x:c r="O85" s="3"/>
      <x:c r="P85" s="3"/>
      <x:c r="Q85" s="3"/>
    </x:row>
    <x:row r="86" ht="20" customHeight="1">
      <x:c r="C86" s="3"/>
      <x:c r="D86" s="42"/>
      <x:c r="E86" s="42"/>
      <x:c r="F86" s="42"/>
      <x:c r="G86" s="42"/>
      <x:c r="H86" s="42"/>
      <x:c r="I86" s="74"/>
      <x:c r="J86" s="74"/>
      <x:c r="K86" s="74"/>
      <x:c r="L86" s="74"/>
      <x:c r="M86" s="74"/>
      <x:c r="N86" s="3"/>
      <x:c r="O86" s="3"/>
      <x:c r="P86" s="3"/>
      <x:c r="Q86" s="3"/>
    </x:row>
    <x:row r="87" ht="20" customHeight="1">
      <x:c r="C87" s="3"/>
      <x:c r="D87" s="42"/>
      <x:c r="E87" s="42"/>
      <x:c r="F87" s="42"/>
      <x:c r="G87" s="42"/>
      <x:c r="H87" s="42"/>
      <x:c r="I87" s="74"/>
      <x:c r="J87" s="74"/>
      <x:c r="K87" s="74"/>
      <x:c r="L87" s="74"/>
      <x:c r="M87" s="74"/>
      <x:c r="N87" s="3"/>
      <x:c r="O87" s="3"/>
      <x:c r="P87" s="3"/>
      <x:c r="Q87" s="3"/>
    </x:row>
    <x:row r="88" ht="20" customHeight="1">
      <x:c r="C88" s="3"/>
      <x:c r="D88" s="42"/>
      <x:c r="E88" s="42"/>
      <x:c r="F88" s="42"/>
      <x:c r="G88" s="42"/>
      <x:c r="H88" s="42"/>
      <x:c r="I88" s="74"/>
      <x:c r="J88" s="74"/>
      <x:c r="K88" s="74"/>
      <x:c r="L88" s="74"/>
      <x:c r="M88" s="74"/>
      <x:c r="N88" s="3"/>
      <x:c r="O88" s="3"/>
      <x:c r="P88" s="3"/>
      <x:c r="Q88" s="3"/>
    </x:row>
    <x:row r="89" ht="20" customHeight="1">
      <x:c r="C89" s="3"/>
      <x:c r="D89" s="42"/>
      <x:c r="E89" s="42"/>
      <x:c r="F89" s="42"/>
      <x:c r="G89" s="42"/>
      <x:c r="H89" s="42"/>
      <x:c r="I89" s="74"/>
      <x:c r="J89" s="74"/>
      <x:c r="K89" s="74"/>
      <x:c r="L89" s="74"/>
      <x:c r="M89" s="74"/>
      <x:c r="N89" s="3"/>
      <x:c r="O89" s="3"/>
      <x:c r="P89" s="3"/>
      <x:c r="Q89" s="3"/>
    </x:row>
    <x:row r="90" ht="20" customHeight="1">
      <x:c r="C90" s="3"/>
      <x:c r="D90" s="42"/>
      <x:c r="E90" s="42"/>
      <x:c r="F90" s="42"/>
      <x:c r="G90" s="42"/>
      <x:c r="H90" s="42"/>
      <x:c r="I90" s="74"/>
      <x:c r="J90" s="74"/>
      <x:c r="K90" s="74"/>
      <x:c r="L90" s="74"/>
      <x:c r="M90" s="74"/>
      <x:c r="N90" s="3"/>
      <x:c r="O90" s="3"/>
      <x:c r="P90" s="3"/>
      <x:c r="Q90" s="3"/>
    </x:row>
  </x:sheetData>
  <x:pageMargins left="0.7" right="0.7" top="0.75" bottom="0.75" header="0.3" footer="0.3"/>
</x:worksheet>
</file>